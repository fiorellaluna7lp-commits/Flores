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_Continente" sheetId="1" state="visible" r:id="rId3"/>
    <sheet name="Ref_Acuerdos" sheetId="2" state="visible" r:id="rId4"/>
    <sheet name="Datos" sheetId="3" state="visible" r:id="rId5"/>
    <sheet name="Continente_x_Anio" sheetId="4" state="visible" r:id="rId6"/>
    <sheet name="Resumen_Pais" sheetId="5" state="visible" r:id="rId7"/>
    <sheet name="Analisis" sheetId="6" state="visible" r:id="rId8"/>
    <sheet name="Grafic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<sst xmlns="http://schemas.openxmlformats.org/spreadsheetml/2006/main" count="1544" uniqueCount="156">
  <si>
    <t xml:space="preserve">Pais (Partner)</t>
  </si>
  <si>
    <t xml:space="preserve">Continente</t>
  </si>
  <si>
    <t xml:space="preserve">Algeria</t>
  </si>
  <si>
    <t xml:space="preserve">Africa</t>
  </si>
  <si>
    <t xml:space="preserve">Areas, nes</t>
  </si>
  <si>
    <t xml:space="preserve">Sin clasificar</t>
  </si>
  <si>
    <t xml:space="preserve">Argentina</t>
  </si>
  <si>
    <t xml:space="preserve">South America</t>
  </si>
  <si>
    <t xml:space="preserve">Armenia</t>
  </si>
  <si>
    <t xml:space="preserve">Asia</t>
  </si>
  <si>
    <t xml:space="preserve">Aruba</t>
  </si>
  <si>
    <t xml:space="preserve">North America</t>
  </si>
  <si>
    <t xml:space="preserve">Australia</t>
  </si>
  <si>
    <t xml:space="preserve">Oceania</t>
  </si>
  <si>
    <t xml:space="preserve">Austria</t>
  </si>
  <si>
    <t xml:space="preserve">Europe</t>
  </si>
  <si>
    <t xml:space="preserve">Azerbaijan</t>
  </si>
  <si>
    <t xml:space="preserve">Bahamas</t>
  </si>
  <si>
    <t xml:space="preserve">Bahrain</t>
  </si>
  <si>
    <t xml:space="preserve">Belarus</t>
  </si>
  <si>
    <t xml:space="preserve">Belgium</t>
  </si>
  <si>
    <t xml:space="preserve">Bolivia (Plurinational State of)</t>
  </si>
  <si>
    <t xml:space="preserve">Bosnia Herzegovina</t>
  </si>
  <si>
    <t xml:space="preserve">Brazil</t>
  </si>
  <si>
    <t xml:space="preserve">Bulgaria</t>
  </si>
  <si>
    <t xml:space="preserve">Canada</t>
  </si>
  <si>
    <t xml:space="preserve">Chile</t>
  </si>
  <si>
    <t xml:space="preserve">China</t>
  </si>
  <si>
    <t xml:space="preserve">China, Hong Kong SAR</t>
  </si>
  <si>
    <t xml:space="preserve">Colombia</t>
  </si>
  <si>
    <t xml:space="preserve">Costa Rica</t>
  </si>
  <si>
    <t xml:space="preserve">Croatia</t>
  </si>
  <si>
    <t xml:space="preserve">Cuba</t>
  </si>
  <si>
    <t xml:space="preserve">Curaçao</t>
  </si>
  <si>
    <t xml:space="preserve">Cyprus</t>
  </si>
  <si>
    <t xml:space="preserve">Czechia</t>
  </si>
  <si>
    <t xml:space="preserve">Dem. People's Rep. of Korea</t>
  </si>
  <si>
    <t xml:space="preserve">Dominican Rep.</t>
  </si>
  <si>
    <t xml:space="preserve">Egypt</t>
  </si>
  <si>
    <t xml:space="preserve">El Salvador</t>
  </si>
  <si>
    <t xml:space="preserve">Estonia</t>
  </si>
  <si>
    <t xml:space="preserve">Finland</t>
  </si>
  <si>
    <t xml:space="preserve">France</t>
  </si>
  <si>
    <t xml:space="preserve">Free Zones</t>
  </si>
  <si>
    <t xml:space="preserve">Georgia</t>
  </si>
  <si>
    <t xml:space="preserve">Germany</t>
  </si>
  <si>
    <t xml:space="preserve">Greece</t>
  </si>
  <si>
    <t xml:space="preserve">Guam</t>
  </si>
  <si>
    <t xml:space="preserve">Guatemala</t>
  </si>
  <si>
    <t xml:space="preserve">Guyana</t>
  </si>
  <si>
    <t xml:space="preserve">Haiti</t>
  </si>
  <si>
    <t xml:space="preserve">Honduras</t>
  </si>
  <si>
    <t xml:space="preserve">Hungary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</si>
  <si>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</si>
  <si>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</si>
  <si>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</si>
  <si>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</si>
  <si>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</si>
  <si>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</si>
  <si>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</si>
  <si>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</si>
  <si>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</si>
  <si>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</si>
  <si>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</si>
  <si>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Kuwait</t>
  </si>
  <si>
    <t xml:space="preserve">Kyrgyzstan</t>
  </si>
  <si>
    <t xml:space="preserve">Latvia</t>
  </si>
  <si>
    <t xml:space="preserve">Lebanon</t>
  </si>
  <si>
    <t xml:space="preserve">Lithuania</t>
  </si>
  <si>
    <t xml:space="preserve">Luxembourg</t>
  </si>
  <si>
    <t xml:space="preserve">Malaysia</t>
  </si>
  <si>
    <t xml:space="preserve">Maldives</t>
  </si>
  <si>
    <t xml:space="preserve">Malta</t>
  </si>
  <si>
    <t xml:space="preserve">Mexico</t>
  </si>
  <si>
    <t xml:space="preserve">Mongolia</t>
  </si>
  <si>
    <t xml:space="preserve">Montenegro</t>
  </si>
  <si>
    <t xml:space="preserve">N. Mariana Isds</t>
  </si>
  <si>
    <t xml:space="preserve">Netherlands</t>
  </si>
  <si>
    <t xml:space="preserve">Netherlands Antilles (...2010)</t>
  </si>
  <si>
    <t xml:space="preserve">New Zealand</t>
  </si>
  <si>
    <t xml:space="preserve">Nicaragua</t>
  </si>
  <si>
    <t xml:space="preserve">Nigeria</t>
  </si>
  <si>
    <t xml:space="preserve">North Macedonia</t>
  </si>
  <si>
    <t xml:space="preserve">Norway</t>
  </si>
  <si>
    <t xml:space="preserve">Oman</t>
  </si>
  <si>
    <t xml:space="preserve">Other Asia, nes</t>
  </si>
  <si>
    <t xml:space="preserve">Panama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</si>
  <si>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</si>
  <si>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</si>
  <si>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</si>
  <si>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</si>
  <si>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</si>
  <si>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</si>
  <si>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Rep. of Korea</t>
  </si>
  <si>
    <t xml:space="preserve">Rep. of Moldova</t>
  </si>
  <si>
    <t xml:space="preserve">Romania</t>
  </si>
  <si>
    <t xml:space="preserve">Russian Federation</t>
  </si>
  <si>
    <t xml:space="preserve">Saint Kitts and Nevis</t>
  </si>
  <si>
    <t xml:space="preserve">Saint Lucia</t>
  </si>
  <si>
    <t xml:space="preserve">Saint Vincent and the Grenadines</t>
  </si>
  <si>
    <t xml:space="preserve">Saudi Arabia</t>
  </si>
  <si>
    <t xml:space="preserve">Serbia</t>
  </si>
  <si>
    <t xml:space="preserve">Singapore</t>
  </si>
  <si>
    <t xml:space="preserve">Slovakia</t>
  </si>
  <si>
    <t xml:space="preserve">Slovenia</t>
  </si>
  <si>
    <t xml:space="preserve">Spain</t>
  </si>
  <si>
    <t xml:space="preserve">Suriname</t>
  </si>
  <si>
    <t xml:space="preserve">Sweden</t>
  </si>
  <si>
    <t xml:space="preserve">Switzerland</t>
  </si>
  <si>
    <t xml:space="preserve">Tajikistan</t>
  </si>
  <si>
    <t xml:space="preserve">Thailand</t>
  </si>
  <si>
    <t xml:space="preserve">Trinidad and Tobago</t>
  </si>
  <si>
    <t xml:space="preserve">Turkmenistan</t>
  </si>
  <si>
    <t xml:space="preserve">Türkiye</t>
  </si>
  <si>
    <t xml:space="preserve">USA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</si>
  <si>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</si>
  <si>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</si>
  <si>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</si>
  <si>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</si>
  <si>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Uzbekistan</t>
  </si>
  <si>
    <t xml:space="preserve">Viet Nam</t>
  </si>
  <si>
    <t xml:space="preserve">Tipo (FTA/PTA)</t>
  </si>
  <si>
    <t xml:space="preserve">Año inicio vigencia</t>
  </si>
  <si>
    <t xml:space="preserve">Tariff (%)</t>
  </si>
  <si>
    <t xml:space="preserve">Fuente / Nota</t>
  </si>
  <si>
    <t xml:space="preserve">PTA</t>
  </si>
  <si>
    <t xml:space="preserve">Ecuador-Mercosur ACE 59 - preferencias parciales (tarifa referencial)</t>
  </si>
  <si>
    <t xml:space="preserve">FTA</t>
  </si>
  <si>
    <t xml:space="preserve">UE-Ecuador Acuerdo Multipartes, vigente desde ene-2017</t>
  </si>
  <si>
    <t xml:space="preserve">Comunidad Andina (CAN) - libre comercio intracomunitario</t>
  </si>
  <si>
    <t xml:space="preserve">Ecuador-Chile ACE 65, vigente desde 2010</t>
  </si>
  <si>
    <t xml:space="preserve">Ecuador-China TLC, vigente desde may-2024</t>
  </si>
  <si>
    <t xml:space="preserve">Ecuador-Costa Rica TLC, vigente desde oct-2024</t>
  </si>
  <si>
    <t xml:space="preserve">ALADI - Acuerdo de Alcance Parcial (preferencia limitada, tarifa referencial)</t>
  </si>
  <si>
    <t xml:space="preserve">EFTA-Ecuador, vigente desde nov-2020</t>
  </si>
  <si>
    <t xml:space="preserve">Acuerdo de Continuidad Comercial Ecuador-Reino Unido (post-Brexit), vigente desde 2021</t>
  </si>
  <si>
    <t xml:space="preserve">Fuentes: SICE-OEA (sice.oas.org/ctyindex/ecu), Ministerio de Produccion, Comercio Exterior e Inversiones de Ecuador (produccion.gob.ec), cobertura de prensa sobre los 13 acuerdos comerciales vigentes de Ecuador (jul-2026). Paises sin fila aqui = sin FTA/PTA identificado (arancel NMF). Tarifas de bloques sin arancel especifico publicado para esta partida son referenciales (Mercosur ACE59 ~5%, AAP ALADI ~10%) y deben verificarse.</t>
  </si>
  <si>
    <t xml:space="preserve">Año</t>
  </si>
  <si>
    <t xml:space="preserve">Valor Exportado (US$)</t>
  </si>
  <si>
    <t xml:space="preserve">Peso Neto (kg)</t>
  </si>
  <si>
    <t xml:space="preserve">Distancia Ecuador (km)</t>
  </si>
  <si>
    <t xml:space="preserve">PIB pais importador (US$)</t>
  </si>
  <si>
    <t xml:space="preserve">FTA (1=Si)</t>
  </si>
  <si>
    <t xml:space="preserve">PTA (1=Si)</t>
  </si>
  <si>
    <t xml:space="preserve">Tariff aplicado (%)</t>
  </si>
  <si>
    <t xml:space="preserve">Fuente / Nota del acuerdo</t>
  </si>
  <si>
    <t xml:space="preserve">NOTA: panel completo 2008-2024, Claveles (HS 060312), 1028 filas pais-año (excluye la fila 'World'). Fuente: pestaña TRADE del Google Sheet del usuario (Comtrade), descargada en CSV. Las columnas Continente, FTA, PTA, Tariff y Nota son FORMULAS (VLOOKUP contra Ref_Continente / Ref_Acuerdos) — se recalculan solas si cambias esas hojas.</t>
  </si>
  <si>
    <t xml:space="preserve">Valor Exportado Total (US$)</t>
  </si>
  <si>
    <t xml:space="preserve">PIB pais importador 2024 (US$)</t>
  </si>
  <si>
    <t xml:space="preserve">Analisis: Claveles (HS 060312) - continente / distancia / PIB, 2008-2024</t>
  </si>
  <si>
    <t xml:space="preserve">1) Por continente (valor exportado total, US$)</t>
  </si>
  <si>
    <t xml:space="preserve">Valor exportado (US$)</t>
  </si>
  <si>
    <t xml:space="preserve">2) Correlacion valor exportado vs distancia a Ecuador (Pearson, -1 a 1):</t>
  </si>
  <si>
    <t xml:space="preserve">Interpretacion: valor cercano a 0 =&gt; la distancia NO explica el volumen exportado.</t>
  </si>
  <si>
    <t xml:space="preserve">3) Correlacion valor exportado vs PIB del pais importador (Pearson, -1 a 1):</t>
  </si>
  <si>
    <t xml:space="preserve">Interpretacion: valor cercano a 1 =&gt; a mayor PIB del pais importador, mayor valor exportado por Ecuador.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</si>
</sst>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\%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Exportaciones Claveles por continente, 2008-2024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Continente_x_Anio!B1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Continente_x_Anio!$B$2:$B$18</c:f>
              <c:numCache>
                <c:formatCode>\$#,##0</c:formatCode>
                <c:ptCount val="17"/>
                <c:pt idx="0">
                  <c:v>250714</c:v>
                </c:pt>
                <c:pt idx="1">
                  <c:v>2231751</c:v>
                </c:pt>
                <c:pt idx="2">
                  <c:v>4913774</c:v>
                </c:pt>
                <c:pt idx="3">
                  <c:v>3343338</c:v>
                </c:pt>
                <c:pt idx="4">
                  <c:v>4293464</c:v>
                </c:pt>
                <c:pt idx="5">
                  <c:v>8351974</c:v>
                </c:pt>
                <c:pt idx="6">
                  <c:v>3597184</c:v>
                </c:pt>
                <c:pt idx="7">
                  <c:v>2735463</c:v>
                </c:pt>
                <c:pt idx="8">
                  <c:v>2571728</c:v>
                </c:pt>
                <c:pt idx="9">
                  <c:v>2245593</c:v>
                </c:pt>
                <c:pt idx="10">
                  <c:v>2118425</c:v>
                </c:pt>
                <c:pt idx="11">
                  <c:v>2320693</c:v>
                </c:pt>
                <c:pt idx="12">
                  <c:v>2092138</c:v>
                </c:pt>
                <c:pt idx="13">
                  <c:v>3140675</c:v>
                </c:pt>
                <c:pt idx="14">
                  <c:v>5751126</c:v>
                </c:pt>
                <c:pt idx="15">
                  <c:v>4991337</c:v>
                </c:pt>
                <c:pt idx="16">
                  <c:v>3825835</c:v>
                </c:pt>
              </c:numCache>
            </c:numRef>
          </c:val>
        </c:ser>
        <c:ser>
          <c:idx val="1"/>
          <c:order val="1"/>
          <c:tx>
            <c:strRef>
              <c:f>Continente_x_Anio!C1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Continente_x_Anio!$C$2:$C$18</c:f>
              <c:numCache>
                <c:formatCode>\$#,##0</c:formatCode>
                <c:ptCount val="17"/>
                <c:pt idx="0">
                  <c:v>14458</c:v>
                </c:pt>
                <c:pt idx="1">
                  <c:v>225157</c:v>
                </c:pt>
                <c:pt idx="2">
                  <c:v>354666</c:v>
                </c:pt>
                <c:pt idx="3">
                  <c:v>735739</c:v>
                </c:pt>
                <c:pt idx="4">
                  <c:v>865366</c:v>
                </c:pt>
                <c:pt idx="5">
                  <c:v>742768</c:v>
                </c:pt>
                <c:pt idx="6">
                  <c:v>374500</c:v>
                </c:pt>
                <c:pt idx="7">
                  <c:v>410587</c:v>
                </c:pt>
                <c:pt idx="8">
                  <c:v>435015</c:v>
                </c:pt>
                <c:pt idx="9">
                  <c:v>506368</c:v>
                </c:pt>
                <c:pt idx="10">
                  <c:v>597183</c:v>
                </c:pt>
                <c:pt idx="11">
                  <c:v>530078</c:v>
                </c:pt>
                <c:pt idx="12">
                  <c:v>291142</c:v>
                </c:pt>
                <c:pt idx="13">
                  <c:v>533434</c:v>
                </c:pt>
                <c:pt idx="14">
                  <c:v>947112</c:v>
                </c:pt>
                <c:pt idx="15">
                  <c:v>770206</c:v>
                </c:pt>
                <c:pt idx="16">
                  <c:v>979807</c:v>
                </c:pt>
              </c:numCache>
            </c:numRef>
          </c:val>
        </c:ser>
        <c:ser>
          <c:idx val="2"/>
          <c:order val="2"/>
          <c:tx>
            <c:strRef>
              <c:f>Continente_x_Anio!D1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Continente_x_Anio!$D$2:$D$18</c:f>
              <c:numCache>
                <c:formatCode>\$#,##0</c:formatCode>
                <c:ptCount val="17"/>
                <c:pt idx="0">
                  <c:v>286833</c:v>
                </c:pt>
                <c:pt idx="1">
                  <c:v>5323041</c:v>
                </c:pt>
                <c:pt idx="2">
                  <c:v>10865744</c:v>
                </c:pt>
                <c:pt idx="3">
                  <c:v>8726795</c:v>
                </c:pt>
                <c:pt idx="4">
                  <c:v>9254745</c:v>
                </c:pt>
                <c:pt idx="5">
                  <c:v>8282815</c:v>
                </c:pt>
                <c:pt idx="6">
                  <c:v>9625831</c:v>
                </c:pt>
                <c:pt idx="7">
                  <c:v>8412542</c:v>
                </c:pt>
                <c:pt idx="8">
                  <c:v>6825699</c:v>
                </c:pt>
                <c:pt idx="9">
                  <c:v>8937578</c:v>
                </c:pt>
                <c:pt idx="10">
                  <c:v>10294662</c:v>
                </c:pt>
                <c:pt idx="11">
                  <c:v>8757063</c:v>
                </c:pt>
                <c:pt idx="12">
                  <c:v>8081672</c:v>
                </c:pt>
                <c:pt idx="13">
                  <c:v>9676457</c:v>
                </c:pt>
                <c:pt idx="14">
                  <c:v>5441609</c:v>
                </c:pt>
                <c:pt idx="15">
                  <c:v>3376791</c:v>
                </c:pt>
                <c:pt idx="16">
                  <c:v>3424082</c:v>
                </c:pt>
              </c:numCache>
            </c:numRef>
          </c:val>
        </c:ser>
        <c:ser>
          <c:idx val="3"/>
          <c:order val="3"/>
          <c:tx>
            <c:strRef>
              <c:f>Continente_x_Anio!E1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Continente_x_Anio!$E$2:$E$18</c:f>
              <c:numCache>
                <c:formatCode>\$#,##0</c:formatCode>
                <c:ptCount val="17"/>
                <c:pt idx="0">
                  <c:v>1532</c:v>
                </c:pt>
                <c:pt idx="1">
                  <c:v>298973</c:v>
                </c:pt>
                <c:pt idx="2">
                  <c:v>904487</c:v>
                </c:pt>
                <c:pt idx="3">
                  <c:v>1351265</c:v>
                </c:pt>
                <c:pt idx="4">
                  <c:v>2271926</c:v>
                </c:pt>
                <c:pt idx="5">
                  <c:v>1223648</c:v>
                </c:pt>
                <c:pt idx="6">
                  <c:v>3560466</c:v>
                </c:pt>
                <c:pt idx="7">
                  <c:v>5394035</c:v>
                </c:pt>
                <c:pt idx="8">
                  <c:v>4805325</c:v>
                </c:pt>
                <c:pt idx="9">
                  <c:v>5459552</c:v>
                </c:pt>
                <c:pt idx="10">
                  <c:v>5679385</c:v>
                </c:pt>
                <c:pt idx="11">
                  <c:v>5860639</c:v>
                </c:pt>
                <c:pt idx="12">
                  <c:v>5917634</c:v>
                </c:pt>
                <c:pt idx="13">
                  <c:v>5990917</c:v>
                </c:pt>
                <c:pt idx="14">
                  <c:v>12429110</c:v>
                </c:pt>
                <c:pt idx="15">
                  <c:v>13340980</c:v>
                </c:pt>
                <c:pt idx="16">
                  <c:v>9042703</c:v>
                </c:pt>
              </c:numCache>
            </c:numRef>
          </c:val>
        </c:ser>
        <c:ser>
          <c:idx val="4"/>
          <c:order val="4"/>
          <c:tx>
            <c:strRef>
              <c:f>Continente_x_Anio!F1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Continente_x_Anio!$F$2:$F$18</c:f>
              <c:numCache>
                <c:formatCode>\$#,##0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111</c:v>
                </c:pt>
                <c:pt idx="13">
                  <c:v>96</c:v>
                </c:pt>
                <c:pt idx="14">
                  <c:v>0</c:v>
                </c:pt>
                <c:pt idx="15">
                  <c:v>861</c:v>
                </c:pt>
                <c:pt idx="16">
                  <c:v>755</c:v>
                </c:pt>
              </c:numCache>
            </c:numRef>
          </c:val>
        </c:ser>
        <c:ser>
          <c:idx val="5"/>
          <c:order val="5"/>
          <c:tx>
            <c:strRef>
              <c:f>Continente_x_Anio!G1</c:f>
              <c:strCache>
                <c:ptCount val="1"/>
                <c:pt idx="0">
                  <c:v>Oceania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Continente_x_Anio!$G$2:$G$18</c:f>
              <c:numCache>
                <c:formatCode>\$#,##0</c:formatCode>
                <c:ptCount val="17"/>
                <c:pt idx="0">
                  <c:v>156</c:v>
                </c:pt>
                <c:pt idx="1">
                  <c:v>71046</c:v>
                </c:pt>
                <c:pt idx="2">
                  <c:v>25781</c:v>
                </c:pt>
                <c:pt idx="3">
                  <c:v>6518</c:v>
                </c:pt>
                <c:pt idx="4">
                  <c:v>22033</c:v>
                </c:pt>
                <c:pt idx="5">
                  <c:v>10838</c:v>
                </c:pt>
                <c:pt idx="6">
                  <c:v>14122</c:v>
                </c:pt>
                <c:pt idx="7">
                  <c:v>235577</c:v>
                </c:pt>
                <c:pt idx="8">
                  <c:v>304513</c:v>
                </c:pt>
                <c:pt idx="9">
                  <c:v>423529</c:v>
                </c:pt>
                <c:pt idx="10">
                  <c:v>266428</c:v>
                </c:pt>
                <c:pt idx="11">
                  <c:v>242487</c:v>
                </c:pt>
                <c:pt idx="12">
                  <c:v>267847</c:v>
                </c:pt>
                <c:pt idx="13">
                  <c:v>339158</c:v>
                </c:pt>
                <c:pt idx="14">
                  <c:v>398805</c:v>
                </c:pt>
                <c:pt idx="15">
                  <c:v>268258</c:v>
                </c:pt>
                <c:pt idx="16">
                  <c:v>511737</c:v>
                </c:pt>
              </c:numCache>
            </c:numRef>
          </c:val>
        </c:ser>
        <c:ser>
          <c:idx val="6"/>
          <c:order val="6"/>
          <c:tx>
            <c:strRef>
              <c:f>Continente_x_Anio!H1</c:f>
              <c:strCache>
                <c:ptCount val="1"/>
                <c:pt idx="0">
                  <c:v>Sin clasificar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Continente_x_Anio!$H$2:$H$18</c:f>
              <c:numCache>
                <c:formatCode>\$#,##0</c:formatCode>
                <c:ptCount val="17"/>
                <c:pt idx="0">
                  <c:v>2029</c:v>
                </c:pt>
                <c:pt idx="1">
                  <c:v>0</c:v>
                </c:pt>
                <c:pt idx="2">
                  <c:v>113917</c:v>
                </c:pt>
                <c:pt idx="3">
                  <c:v>473926</c:v>
                </c:pt>
                <c:pt idx="4">
                  <c:v>435071</c:v>
                </c:pt>
                <c:pt idx="5">
                  <c:v>180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100"/>
        <c:axId val="38298441"/>
        <c:axId val="88203923"/>
      </c:barChart>
      <c:catAx>
        <c:axId val="382984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03923"/>
        <c:crosses val="autoZero"/>
        <c:auto val="1"/>
        <c:lblAlgn val="ctr"/>
        <c:lblOffset val="100"/>
        <c:noMultiLvlLbl val="0"/>
      </c:catAx>
      <c:valAx>
        <c:axId val="88203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984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exportado total vs Distancia a Ecuador (por pais) - Claveles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"Paises"</c:f>
              <c:strCache>
                <c:ptCount val="1"/>
                <c:pt idx="0">
                  <c:v>Paises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Resumen_Pais!$D$2:$D$113</c:f>
              <c:numCache>
                <c:formatCode>#,##0</c:formatCode>
                <c:ptCount val="112"/>
                <c:pt idx="0">
                  <c:v>12000</c:v>
                </c:pt>
                <c:pt idx="1">
                  <c:v>14500</c:v>
                </c:pt>
                <c:pt idx="2">
                  <c:v>4550</c:v>
                </c:pt>
                <c:pt idx="3">
                  <c:v>9300</c:v>
                </c:pt>
                <c:pt idx="4">
                  <c:v>13600</c:v>
                </c:pt>
                <c:pt idx="5">
                  <c:v>11</c:v>
                </c:pt>
                <c:pt idx="6">
                  <c:v>8700</c:v>
                </c:pt>
                <c:pt idx="7">
                  <c:v>2600</c:v>
                </c:pt>
                <c:pt idx="8">
                  <c:v>10600</c:v>
                </c:pt>
                <c:pt idx="9">
                  <c:v>14000</c:v>
                </c:pt>
                <c:pt idx="10">
                  <c:v>10100</c:v>
                </c:pt>
                <c:pt idx="11">
                  <c:v>2200</c:v>
                </c:pt>
                <c:pt idx="12">
                  <c:v>5900</c:v>
                </c:pt>
                <c:pt idx="13">
                  <c:v>14300</c:v>
                </c:pt>
                <c:pt idx="14">
                  <c:v>4650</c:v>
                </c:pt>
                <c:pt idx="15">
                  <c:v>1320</c:v>
                </c:pt>
                <c:pt idx="16">
                  <c:v>10300</c:v>
                </c:pt>
                <c:pt idx="17">
                  <c:v>720</c:v>
                </c:pt>
                <c:pt idx="18">
                  <c:v>0</c:v>
                </c:pt>
                <c:pt idx="19">
                  <c:v>11600</c:v>
                </c:pt>
                <c:pt idx="20">
                  <c:v>9650</c:v>
                </c:pt>
                <c:pt idx="21">
                  <c:v>4320</c:v>
                </c:pt>
                <c:pt idx="22">
                  <c:v>3600</c:v>
                </c:pt>
                <c:pt idx="23">
                  <c:v>14000</c:v>
                </c:pt>
                <c:pt idx="24">
                  <c:v>10400</c:v>
                </c:pt>
                <c:pt idx="25">
                  <c:v>1020</c:v>
                </c:pt>
                <c:pt idx="26">
                  <c:v>10250</c:v>
                </c:pt>
                <c:pt idx="27">
                  <c:v>1730</c:v>
                </c:pt>
                <c:pt idx="28">
                  <c:v>11300</c:v>
                </c:pt>
                <c:pt idx="29">
                  <c:v>2450</c:v>
                </c:pt>
                <c:pt idx="30">
                  <c:v>11000</c:v>
                </c:pt>
                <c:pt idx="31">
                  <c:v>10100</c:v>
                </c:pt>
                <c:pt idx="32">
                  <c:v>14200</c:v>
                </c:pt>
                <c:pt idx="33">
                  <c:v>13500</c:v>
                </c:pt>
                <c:pt idx="34">
                  <c:v>14300</c:v>
                </c:pt>
                <c:pt idx="35">
                  <c:v>10700</c:v>
                </c:pt>
                <c:pt idx="36">
                  <c:v>9150</c:v>
                </c:pt>
                <c:pt idx="37">
                  <c:v>10350</c:v>
                </c:pt>
                <c:pt idx="38">
                  <c:v>2530</c:v>
                </c:pt>
                <c:pt idx="39">
                  <c:v>13100</c:v>
                </c:pt>
                <c:pt idx="40">
                  <c:v>2000</c:v>
                </c:pt>
                <c:pt idx="41">
                  <c:v>8700</c:v>
                </c:pt>
                <c:pt idx="42">
                  <c:v>2250</c:v>
                </c:pt>
                <c:pt idx="43">
                  <c:v>17800</c:v>
                </c:pt>
                <c:pt idx="44">
                  <c:v>11600</c:v>
                </c:pt>
                <c:pt idx="45">
                  <c:v>13800</c:v>
                </c:pt>
                <c:pt idx="46">
                  <c:v>9200</c:v>
                </c:pt>
                <c:pt idx="47">
                  <c:v>9800</c:v>
                </c:pt>
                <c:pt idx="48">
                  <c:v>1900</c:v>
                </c:pt>
                <c:pt idx="49">
                  <c:v>10500</c:v>
                </c:pt>
                <c:pt idx="50">
                  <c:v>10200</c:v>
                </c:pt>
                <c:pt idx="51">
                  <c:v>19300</c:v>
                </c:pt>
                <c:pt idx="52">
                  <c:v>17100</c:v>
                </c:pt>
                <c:pt idx="53">
                  <c:v>10400</c:v>
                </c:pt>
                <c:pt idx="54">
                  <c:v>10000</c:v>
                </c:pt>
                <c:pt idx="55">
                  <c:v>11600</c:v>
                </c:pt>
                <c:pt idx="56">
                  <c:v>10400</c:v>
                </c:pt>
                <c:pt idx="57">
                  <c:v>4330</c:v>
                </c:pt>
                <c:pt idx="58">
                  <c:v>14400</c:v>
                </c:pt>
                <c:pt idx="59">
                  <c:v>10050</c:v>
                </c:pt>
                <c:pt idx="60">
                  <c:v>13800</c:v>
                </c:pt>
                <c:pt idx="61">
                  <c:v>17700</c:v>
                </c:pt>
                <c:pt idx="62">
                  <c:v>10870</c:v>
                </c:pt>
                <c:pt idx="63">
                  <c:v>9980</c:v>
                </c:pt>
                <c:pt idx="65">
                  <c:v>17000</c:v>
                </c:pt>
                <c:pt idx="66">
                  <c:v>10800</c:v>
                </c:pt>
                <c:pt idx="68">
                  <c:v>0</c:v>
                </c:pt>
                <c:pt idx="69">
                  <c:v>11000</c:v>
                </c:pt>
                <c:pt idx="70">
                  <c:v>17600</c:v>
                </c:pt>
                <c:pt idx="71">
                  <c:v>18800</c:v>
                </c:pt>
                <c:pt idx="72">
                  <c:v>13800</c:v>
                </c:pt>
                <c:pt idx="73">
                  <c:v>0</c:v>
                </c:pt>
                <c:pt idx="74">
                  <c:v>2900</c:v>
                </c:pt>
                <c:pt idx="75">
                  <c:v>14200</c:v>
                </c:pt>
                <c:pt idx="76">
                  <c:v>10500</c:v>
                </c:pt>
                <c:pt idx="77">
                  <c:v>1800</c:v>
                </c:pt>
                <c:pt idx="78">
                  <c:v>12100</c:v>
                </c:pt>
                <c:pt idx="79">
                  <c:v>2400</c:v>
                </c:pt>
                <c:pt idx="80">
                  <c:v>11250</c:v>
                </c:pt>
                <c:pt idx="81">
                  <c:v>10300</c:v>
                </c:pt>
                <c:pt idx="82">
                  <c:v>2000</c:v>
                </c:pt>
                <c:pt idx="83">
                  <c:v>2750</c:v>
                </c:pt>
                <c:pt idx="84">
                  <c:v>11900</c:v>
                </c:pt>
                <c:pt idx="85">
                  <c:v>15250</c:v>
                </c:pt>
                <c:pt idx="86">
                  <c:v>2100</c:v>
                </c:pt>
                <c:pt idx="87">
                  <c:v>19950</c:v>
                </c:pt>
                <c:pt idx="88">
                  <c:v>10450</c:v>
                </c:pt>
                <c:pt idx="89">
                  <c:v>11170</c:v>
                </c:pt>
                <c:pt idx="90">
                  <c:v>9140</c:v>
                </c:pt>
                <c:pt idx="91">
                  <c:v>1300</c:v>
                </c:pt>
                <c:pt idx="92">
                  <c:v>11800</c:v>
                </c:pt>
                <c:pt idx="93">
                  <c:v>14000</c:v>
                </c:pt>
                <c:pt idx="94">
                  <c:v>9100</c:v>
                </c:pt>
                <c:pt idx="95">
                  <c:v>2060</c:v>
                </c:pt>
                <c:pt idx="96">
                  <c:v>12800</c:v>
                </c:pt>
                <c:pt idx="97">
                  <c:v>2100</c:v>
                </c:pt>
                <c:pt idx="98">
                  <c:v>17500</c:v>
                </c:pt>
                <c:pt idx="99">
                  <c:v>14400</c:v>
                </c:pt>
                <c:pt idx="100">
                  <c:v>16200</c:v>
                </c:pt>
                <c:pt idx="101">
                  <c:v>2350</c:v>
                </c:pt>
                <c:pt idx="102">
                  <c:v>2830</c:v>
                </c:pt>
                <c:pt idx="103">
                  <c:v>9800</c:v>
                </c:pt>
                <c:pt idx="104">
                  <c:v>9350</c:v>
                </c:pt>
                <c:pt idx="105">
                  <c:v>14100</c:v>
                </c:pt>
                <c:pt idx="106">
                  <c:v>9400</c:v>
                </c:pt>
                <c:pt idx="107">
                  <c:v>14800</c:v>
                </c:pt>
                <c:pt idx="108">
                  <c:v>3130</c:v>
                </c:pt>
                <c:pt idx="109">
                  <c:v>12200</c:v>
                </c:pt>
                <c:pt idx="110">
                  <c:v>12200</c:v>
                </c:pt>
                <c:pt idx="111">
                  <c:v>2650</c:v>
                </c:pt>
              </c:numCache>
            </c:numRef>
          </c:xVal>
          <c:yVal>
            <c:numRef>
              <c:f>Resumen_Pais!$C$2:$C$113</c:f>
              <c:numCache>
                <c:formatCode>\$#,##0</c:formatCode>
                <c:ptCount val="112"/>
                <c:pt idx="0">
                  <c:v>75350094</c:v>
                </c:pt>
                <c:pt idx="1">
                  <c:v>64147663</c:v>
                </c:pt>
                <c:pt idx="2">
                  <c:v>53108153</c:v>
                </c:pt>
                <c:pt idx="3">
                  <c:v>22010517</c:v>
                </c:pt>
                <c:pt idx="4">
                  <c:v>15232905</c:v>
                </c:pt>
                <c:pt idx="5">
                  <c:v>7547669</c:v>
                </c:pt>
                <c:pt idx="6">
                  <c:v>7505896</c:v>
                </c:pt>
                <c:pt idx="7">
                  <c:v>4156202</c:v>
                </c:pt>
                <c:pt idx="8">
                  <c:v>3741061</c:v>
                </c:pt>
                <c:pt idx="9">
                  <c:v>3374803</c:v>
                </c:pt>
                <c:pt idx="10">
                  <c:v>2434084</c:v>
                </c:pt>
                <c:pt idx="11">
                  <c:v>1769895</c:v>
                </c:pt>
                <c:pt idx="12">
                  <c:v>1612706</c:v>
                </c:pt>
                <c:pt idx="13">
                  <c:v>1531690</c:v>
                </c:pt>
                <c:pt idx="14">
                  <c:v>1420799</c:v>
                </c:pt>
                <c:pt idx="15">
                  <c:v>1288143</c:v>
                </c:pt>
                <c:pt idx="16">
                  <c:v>1241245</c:v>
                </c:pt>
                <c:pt idx="17">
                  <c:v>1100999</c:v>
                </c:pt>
                <c:pt idx="18">
                  <c:v>1008545</c:v>
                </c:pt>
                <c:pt idx="19">
                  <c:v>896286</c:v>
                </c:pt>
                <c:pt idx="20">
                  <c:v>868088</c:v>
                </c:pt>
                <c:pt idx="21">
                  <c:v>649138</c:v>
                </c:pt>
                <c:pt idx="22">
                  <c:v>640500</c:v>
                </c:pt>
                <c:pt idx="23">
                  <c:v>639073</c:v>
                </c:pt>
                <c:pt idx="24">
                  <c:v>610965</c:v>
                </c:pt>
                <c:pt idx="25">
                  <c:v>598681</c:v>
                </c:pt>
                <c:pt idx="26">
                  <c:v>561607</c:v>
                </c:pt>
                <c:pt idx="27">
                  <c:v>560258</c:v>
                </c:pt>
                <c:pt idx="28">
                  <c:v>423079</c:v>
                </c:pt>
                <c:pt idx="29">
                  <c:v>411124</c:v>
                </c:pt>
                <c:pt idx="30">
                  <c:v>386901</c:v>
                </c:pt>
                <c:pt idx="31">
                  <c:v>368029</c:v>
                </c:pt>
                <c:pt idx="32">
                  <c:v>361792</c:v>
                </c:pt>
                <c:pt idx="33">
                  <c:v>301582</c:v>
                </c:pt>
                <c:pt idx="34">
                  <c:v>266070</c:v>
                </c:pt>
                <c:pt idx="35">
                  <c:v>240192</c:v>
                </c:pt>
                <c:pt idx="36">
                  <c:v>238147</c:v>
                </c:pt>
                <c:pt idx="37">
                  <c:v>231996</c:v>
                </c:pt>
                <c:pt idx="38">
                  <c:v>207029</c:v>
                </c:pt>
                <c:pt idx="39">
                  <c:v>180788</c:v>
                </c:pt>
                <c:pt idx="40">
                  <c:v>177332</c:v>
                </c:pt>
                <c:pt idx="41">
                  <c:v>167127</c:v>
                </c:pt>
                <c:pt idx="42">
                  <c:v>162704</c:v>
                </c:pt>
                <c:pt idx="43">
                  <c:v>158438</c:v>
                </c:pt>
                <c:pt idx="44">
                  <c:v>128547</c:v>
                </c:pt>
                <c:pt idx="45">
                  <c:v>127614</c:v>
                </c:pt>
                <c:pt idx="46">
                  <c:v>120773</c:v>
                </c:pt>
                <c:pt idx="47">
                  <c:v>113256</c:v>
                </c:pt>
                <c:pt idx="48">
                  <c:v>109984</c:v>
                </c:pt>
                <c:pt idx="49">
                  <c:v>109650</c:v>
                </c:pt>
                <c:pt idx="50">
                  <c:v>108329</c:v>
                </c:pt>
                <c:pt idx="51">
                  <c:v>85408</c:v>
                </c:pt>
                <c:pt idx="52">
                  <c:v>83661</c:v>
                </c:pt>
                <c:pt idx="53">
                  <c:v>71316</c:v>
                </c:pt>
                <c:pt idx="54">
                  <c:v>67489</c:v>
                </c:pt>
                <c:pt idx="55">
                  <c:v>63657</c:v>
                </c:pt>
                <c:pt idx="56">
                  <c:v>54503</c:v>
                </c:pt>
                <c:pt idx="57">
                  <c:v>51279</c:v>
                </c:pt>
                <c:pt idx="58">
                  <c:v>46577</c:v>
                </c:pt>
                <c:pt idx="59">
                  <c:v>34262</c:v>
                </c:pt>
                <c:pt idx="60">
                  <c:v>31108</c:v>
                </c:pt>
                <c:pt idx="61">
                  <c:v>28562</c:v>
                </c:pt>
                <c:pt idx="62">
                  <c:v>25488</c:v>
                </c:pt>
                <c:pt idx="63">
                  <c:v>24129</c:v>
                </c:pt>
                <c:pt idx="64">
                  <c:v>24002</c:v>
                </c:pt>
                <c:pt idx="65">
                  <c:v>23772</c:v>
                </c:pt>
                <c:pt idx="66">
                  <c:v>23235</c:v>
                </c:pt>
                <c:pt idx="67">
                  <c:v>20282</c:v>
                </c:pt>
                <c:pt idx="68">
                  <c:v>16578</c:v>
                </c:pt>
                <c:pt idx="69">
                  <c:v>15756</c:v>
                </c:pt>
                <c:pt idx="70">
                  <c:v>15122</c:v>
                </c:pt>
                <c:pt idx="71">
                  <c:v>14169</c:v>
                </c:pt>
                <c:pt idx="72">
                  <c:v>13879</c:v>
                </c:pt>
                <c:pt idx="73">
                  <c:v>13776</c:v>
                </c:pt>
                <c:pt idx="74">
                  <c:v>13629</c:v>
                </c:pt>
                <c:pt idx="75">
                  <c:v>9683</c:v>
                </c:pt>
                <c:pt idx="76">
                  <c:v>9358</c:v>
                </c:pt>
                <c:pt idx="77">
                  <c:v>7887</c:v>
                </c:pt>
                <c:pt idx="78">
                  <c:v>7131</c:v>
                </c:pt>
                <c:pt idx="79">
                  <c:v>5386</c:v>
                </c:pt>
                <c:pt idx="80">
                  <c:v>4593</c:v>
                </c:pt>
                <c:pt idx="81">
                  <c:v>4046</c:v>
                </c:pt>
                <c:pt idx="82">
                  <c:v>3322</c:v>
                </c:pt>
                <c:pt idx="83">
                  <c:v>3292</c:v>
                </c:pt>
                <c:pt idx="84">
                  <c:v>2721</c:v>
                </c:pt>
                <c:pt idx="85">
                  <c:v>2525</c:v>
                </c:pt>
                <c:pt idx="86">
                  <c:v>2220</c:v>
                </c:pt>
                <c:pt idx="87">
                  <c:v>2100</c:v>
                </c:pt>
                <c:pt idx="88">
                  <c:v>1974</c:v>
                </c:pt>
                <c:pt idx="89">
                  <c:v>1898</c:v>
                </c:pt>
                <c:pt idx="90">
                  <c:v>1727</c:v>
                </c:pt>
                <c:pt idx="91">
                  <c:v>1695</c:v>
                </c:pt>
                <c:pt idx="92">
                  <c:v>1562</c:v>
                </c:pt>
                <c:pt idx="93">
                  <c:v>1112</c:v>
                </c:pt>
                <c:pt idx="94">
                  <c:v>1024</c:v>
                </c:pt>
                <c:pt idx="95">
                  <c:v>819</c:v>
                </c:pt>
                <c:pt idx="96">
                  <c:v>781</c:v>
                </c:pt>
                <c:pt idx="97">
                  <c:v>752</c:v>
                </c:pt>
                <c:pt idx="98">
                  <c:v>704</c:v>
                </c:pt>
                <c:pt idx="99">
                  <c:v>680</c:v>
                </c:pt>
                <c:pt idx="100">
                  <c:v>544</c:v>
                </c:pt>
                <c:pt idx="101">
                  <c:v>378</c:v>
                </c:pt>
                <c:pt idx="102">
                  <c:v>321</c:v>
                </c:pt>
                <c:pt idx="103">
                  <c:v>296</c:v>
                </c:pt>
                <c:pt idx="104">
                  <c:v>211</c:v>
                </c:pt>
                <c:pt idx="105">
                  <c:v>200</c:v>
                </c:pt>
                <c:pt idx="106">
                  <c:v>200</c:v>
                </c:pt>
                <c:pt idx="107">
                  <c:v>160</c:v>
                </c:pt>
                <c:pt idx="108">
                  <c:v>129</c:v>
                </c:pt>
                <c:pt idx="109">
                  <c:v>84</c:v>
                </c:pt>
                <c:pt idx="110">
                  <c:v>55</c:v>
                </c:pt>
                <c:pt idx="111">
                  <c:v>40</c:v>
                </c:pt>
              </c:numCache>
            </c:numRef>
          </c:yVal>
          <c:smooth val="1"/>
        </c:ser>
        <c:axId val="42144692"/>
        <c:axId val="78995612"/>
      </c:scatterChart>
      <c:valAx>
        <c:axId val="421446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Distancia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95612"/>
        <c:crosses val="autoZero"/>
        <c:crossBetween val="midCat"/>
      </c:valAx>
      <c:valAx>
        <c:axId val="78995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total 2008-2024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46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exportado total vs PIB del pais importador (2024) - Claveles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"Paises"</c:f>
              <c:strCache>
                <c:ptCount val="1"/>
                <c:pt idx="0">
                  <c:v>Paises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diamond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Resumen_Pais!$E$2:$E$113</c:f>
              <c:numCache>
                <c:formatCode>\$#,##0</c:formatCode>
                <c:ptCount val="112"/>
                <c:pt idx="0">
                  <c:v>2173835806671.66</c:v>
                </c:pt>
                <c:pt idx="1">
                  <c:v>4027597523550.58</c:v>
                </c:pt>
                <c:pt idx="2">
                  <c:v>28750956130731.2</c:v>
                </c:pt>
                <c:pt idx="3">
                  <c:v>1214927698572.66</c:v>
                </c:pt>
                <c:pt idx="4">
                  <c:v>291480274648.83</c:v>
                </c:pt>
                <c:pt idx="5">
                  <c:v>190741262414.71</c:v>
                </c:pt>
                <c:pt idx="6">
                  <c:v>1725671652742.19</c:v>
                </c:pt>
                <c:pt idx="7">
                  <c:v>330267137371.59</c:v>
                </c:pt>
                <c:pt idx="8">
                  <c:v>75961865471.91</c:v>
                </c:pt>
                <c:pt idx="9">
                  <c:v>1757022451652.83</c:v>
                </c:pt>
                <c:pt idx="10">
                  <c:v>2380825077243.59</c:v>
                </c:pt>
                <c:pt idx="11">
                  <c:v>124282245638.57</c:v>
                </c:pt>
                <c:pt idx="12">
                  <c:v>2243636826633.76</c:v>
                </c:pt>
                <c:pt idx="13">
                  <c:v>0</c:v>
                </c:pt>
                <c:pt idx="14">
                  <c:v>80961511073.58</c:v>
                </c:pt>
                <c:pt idx="15">
                  <c:v>289221969062.94</c:v>
                </c:pt>
                <c:pt idx="16">
                  <c:v>917767106146.76</c:v>
                </c:pt>
                <c:pt idx="17">
                  <c:v>418818154879.27</c:v>
                </c:pt>
                <c:pt idx="18">
                  <c:v>0</c:v>
                </c:pt>
                <c:pt idx="19">
                  <c:v>1359123768774.12</c:v>
                </c:pt>
                <c:pt idx="20">
                  <c:v>4685592577804.69</c:v>
                </c:pt>
                <c:pt idx="21">
                  <c:v>0</c:v>
                </c:pt>
                <c:pt idx="22">
                  <c:v>44458118397.44</c:v>
                </c:pt>
                <c:pt idx="23">
                  <c:v>219162637362.64</c:v>
                </c:pt>
                <c:pt idx="24">
                  <c:v>43684254432.36</c:v>
                </c:pt>
                <c:pt idx="25">
                  <c:v>86523959131.75</c:v>
                </c:pt>
                <c:pt idx="26">
                  <c:v>84869215513.36</c:v>
                </c:pt>
                <c:pt idx="27">
                  <c:v>19693982967.59</c:v>
                </c:pt>
                <c:pt idx="28">
                  <c:v>382564217988.87</c:v>
                </c:pt>
                <c:pt idx="29">
                  <c:v>0</c:v>
                </c:pt>
                <c:pt idx="30">
                  <c:v>18200340853.65</c:v>
                </c:pt>
                <c:pt idx="31">
                  <c:v>347034062928.48</c:v>
                </c:pt>
                <c:pt idx="32">
                  <c:v>552324846834.58</c:v>
                </c:pt>
                <c:pt idx="33">
                  <c:v>160227273053.33</c:v>
                </c:pt>
                <c:pt idx="34">
                  <c:v>14204575548.55</c:v>
                </c:pt>
                <c:pt idx="35">
                  <c:v>8270016670.87</c:v>
                </c:pt>
                <c:pt idx="36">
                  <c:v>3160442622465.08</c:v>
                </c:pt>
                <c:pt idx="37">
                  <c:v>222722738925.64</c:v>
                </c:pt>
                <c:pt idx="38">
                  <c:v>25633544529.48</c:v>
                </c:pt>
                <c:pt idx="39">
                  <c:v>74315882352.94</c:v>
                </c:pt>
                <c:pt idx="40">
                  <c:v>35364960000</c:v>
                </c:pt>
                <c:pt idx="41">
                  <c:v>313271185085.1</c:v>
                </c:pt>
                <c:pt idx="42">
                  <c:v>0</c:v>
                </c:pt>
                <c:pt idx="43">
                  <c:v>461617509782.36</c:v>
                </c:pt>
                <c:pt idx="44">
                  <c:v>34189423545</c:v>
                </c:pt>
                <c:pt idx="45">
                  <c:v>1239804533333.33</c:v>
                </c:pt>
                <c:pt idx="46">
                  <c:v>3686033044482.13</c:v>
                </c:pt>
                <c:pt idx="47">
                  <c:v>936564198048.52</c:v>
                </c:pt>
                <c:pt idx="48">
                  <c:v>22014397089.77</c:v>
                </c:pt>
                <c:pt idx="49">
                  <c:v>0</c:v>
                </c:pt>
                <c:pt idx="50">
                  <c:v>0</c:v>
                </c:pt>
                <c:pt idx="51">
                  <c:v>1396300098190.97</c:v>
                </c:pt>
                <c:pt idx="52">
                  <c:v>7061608267.25</c:v>
                </c:pt>
                <c:pt idx="53">
                  <c:v>92983810328.91</c:v>
                </c:pt>
                <c:pt idx="54">
                  <c:v>0</c:v>
                </c:pt>
                <c:pt idx="55">
                  <c:v>25955275380.03</c:v>
                </c:pt>
                <c:pt idx="56">
                  <c:v>43130419829.35</c:v>
                </c:pt>
                <c:pt idx="57">
                  <c:v>0</c:v>
                </c:pt>
                <c:pt idx="58">
                  <c:v>114965293466.61</c:v>
                </c:pt>
                <c:pt idx="59">
                  <c:v>0</c:v>
                </c:pt>
                <c:pt idx="60">
                  <c:v>0</c:v>
                </c:pt>
                <c:pt idx="61">
                  <c:v>406863396487.34</c:v>
                </c:pt>
                <c:pt idx="62">
                  <c:v>113343355779.99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476388230307.18</c:v>
                </c:pt>
                <c:pt idx="71">
                  <c:v>547386645891.85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1875388209406.8</c:v>
                </c:pt>
                <c:pt idx="86">
                  <c:v>0</c:v>
                </c:pt>
                <c:pt idx="87">
                  <c:v>422227005428.69</c:v>
                </c:pt>
                <c:pt idx="88">
                  <c:v>298696961297.66</c:v>
                </c:pt>
                <c:pt idx="89">
                  <c:v>0</c:v>
                </c:pt>
                <c:pt idx="90">
                  <c:v>269322281664.77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609157459747.21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23794540024.51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xVal>
          <c:yVal>
            <c:numRef>
              <c:f>Resumen_Pais!$C$2:$C$113</c:f>
              <c:numCache>
                <c:formatCode>\$#,##0</c:formatCode>
                <c:ptCount val="112"/>
                <c:pt idx="0">
                  <c:v>75350094</c:v>
                </c:pt>
                <c:pt idx="1">
                  <c:v>64147663</c:v>
                </c:pt>
                <c:pt idx="2">
                  <c:v>53108153</c:v>
                </c:pt>
                <c:pt idx="3">
                  <c:v>22010517</c:v>
                </c:pt>
                <c:pt idx="4">
                  <c:v>15232905</c:v>
                </c:pt>
                <c:pt idx="5">
                  <c:v>7547669</c:v>
                </c:pt>
                <c:pt idx="6">
                  <c:v>7505896</c:v>
                </c:pt>
                <c:pt idx="7">
                  <c:v>4156202</c:v>
                </c:pt>
                <c:pt idx="8">
                  <c:v>3741061</c:v>
                </c:pt>
                <c:pt idx="9">
                  <c:v>3374803</c:v>
                </c:pt>
                <c:pt idx="10">
                  <c:v>2434084</c:v>
                </c:pt>
                <c:pt idx="11">
                  <c:v>1769895</c:v>
                </c:pt>
                <c:pt idx="12">
                  <c:v>1612706</c:v>
                </c:pt>
                <c:pt idx="13">
                  <c:v>1531690</c:v>
                </c:pt>
                <c:pt idx="14">
                  <c:v>1420799</c:v>
                </c:pt>
                <c:pt idx="15">
                  <c:v>1288143</c:v>
                </c:pt>
                <c:pt idx="16">
                  <c:v>1241245</c:v>
                </c:pt>
                <c:pt idx="17">
                  <c:v>1100999</c:v>
                </c:pt>
                <c:pt idx="18">
                  <c:v>1008545</c:v>
                </c:pt>
                <c:pt idx="19">
                  <c:v>896286</c:v>
                </c:pt>
                <c:pt idx="20">
                  <c:v>868088</c:v>
                </c:pt>
                <c:pt idx="21">
                  <c:v>649138</c:v>
                </c:pt>
                <c:pt idx="22">
                  <c:v>640500</c:v>
                </c:pt>
                <c:pt idx="23">
                  <c:v>639073</c:v>
                </c:pt>
                <c:pt idx="24">
                  <c:v>610965</c:v>
                </c:pt>
                <c:pt idx="25">
                  <c:v>598681</c:v>
                </c:pt>
                <c:pt idx="26">
                  <c:v>561607</c:v>
                </c:pt>
                <c:pt idx="27">
                  <c:v>560258</c:v>
                </c:pt>
                <c:pt idx="28">
                  <c:v>423079</c:v>
                </c:pt>
                <c:pt idx="29">
                  <c:v>411124</c:v>
                </c:pt>
                <c:pt idx="30">
                  <c:v>386901</c:v>
                </c:pt>
                <c:pt idx="31">
                  <c:v>368029</c:v>
                </c:pt>
                <c:pt idx="32">
                  <c:v>361792</c:v>
                </c:pt>
                <c:pt idx="33">
                  <c:v>301582</c:v>
                </c:pt>
                <c:pt idx="34">
                  <c:v>266070</c:v>
                </c:pt>
                <c:pt idx="35">
                  <c:v>240192</c:v>
                </c:pt>
                <c:pt idx="36">
                  <c:v>238147</c:v>
                </c:pt>
                <c:pt idx="37">
                  <c:v>231996</c:v>
                </c:pt>
                <c:pt idx="38">
                  <c:v>207029</c:v>
                </c:pt>
                <c:pt idx="39">
                  <c:v>180788</c:v>
                </c:pt>
                <c:pt idx="40">
                  <c:v>177332</c:v>
                </c:pt>
                <c:pt idx="41">
                  <c:v>167127</c:v>
                </c:pt>
                <c:pt idx="42">
                  <c:v>162704</c:v>
                </c:pt>
                <c:pt idx="43">
                  <c:v>158438</c:v>
                </c:pt>
                <c:pt idx="44">
                  <c:v>128547</c:v>
                </c:pt>
                <c:pt idx="45">
                  <c:v>127614</c:v>
                </c:pt>
                <c:pt idx="46">
                  <c:v>120773</c:v>
                </c:pt>
                <c:pt idx="47">
                  <c:v>113256</c:v>
                </c:pt>
                <c:pt idx="48">
                  <c:v>109984</c:v>
                </c:pt>
                <c:pt idx="49">
                  <c:v>109650</c:v>
                </c:pt>
                <c:pt idx="50">
                  <c:v>108329</c:v>
                </c:pt>
                <c:pt idx="51">
                  <c:v>85408</c:v>
                </c:pt>
                <c:pt idx="52">
                  <c:v>83661</c:v>
                </c:pt>
                <c:pt idx="53">
                  <c:v>71316</c:v>
                </c:pt>
                <c:pt idx="54">
                  <c:v>67489</c:v>
                </c:pt>
                <c:pt idx="55">
                  <c:v>63657</c:v>
                </c:pt>
                <c:pt idx="56">
                  <c:v>54503</c:v>
                </c:pt>
                <c:pt idx="57">
                  <c:v>51279</c:v>
                </c:pt>
                <c:pt idx="58">
                  <c:v>46577</c:v>
                </c:pt>
                <c:pt idx="59">
                  <c:v>34262</c:v>
                </c:pt>
                <c:pt idx="60">
                  <c:v>31108</c:v>
                </c:pt>
                <c:pt idx="61">
                  <c:v>28562</c:v>
                </c:pt>
                <c:pt idx="62">
                  <c:v>25488</c:v>
                </c:pt>
                <c:pt idx="63">
                  <c:v>24129</c:v>
                </c:pt>
                <c:pt idx="64">
                  <c:v>24002</c:v>
                </c:pt>
                <c:pt idx="65">
                  <c:v>23772</c:v>
                </c:pt>
                <c:pt idx="66">
                  <c:v>23235</c:v>
                </c:pt>
                <c:pt idx="67">
                  <c:v>20282</c:v>
                </c:pt>
                <c:pt idx="68">
                  <c:v>16578</c:v>
                </c:pt>
                <c:pt idx="69">
                  <c:v>15756</c:v>
                </c:pt>
                <c:pt idx="70">
                  <c:v>15122</c:v>
                </c:pt>
                <c:pt idx="71">
                  <c:v>14169</c:v>
                </c:pt>
                <c:pt idx="72">
                  <c:v>13879</c:v>
                </c:pt>
                <c:pt idx="73">
                  <c:v>13776</c:v>
                </c:pt>
                <c:pt idx="74">
                  <c:v>13629</c:v>
                </c:pt>
                <c:pt idx="75">
                  <c:v>9683</c:v>
                </c:pt>
                <c:pt idx="76">
                  <c:v>9358</c:v>
                </c:pt>
                <c:pt idx="77">
                  <c:v>7887</c:v>
                </c:pt>
                <c:pt idx="78">
                  <c:v>7131</c:v>
                </c:pt>
                <c:pt idx="79">
                  <c:v>5386</c:v>
                </c:pt>
                <c:pt idx="80">
                  <c:v>4593</c:v>
                </c:pt>
                <c:pt idx="81">
                  <c:v>4046</c:v>
                </c:pt>
                <c:pt idx="82">
                  <c:v>3322</c:v>
                </c:pt>
                <c:pt idx="83">
                  <c:v>3292</c:v>
                </c:pt>
                <c:pt idx="84">
                  <c:v>2721</c:v>
                </c:pt>
                <c:pt idx="85">
                  <c:v>2525</c:v>
                </c:pt>
                <c:pt idx="86">
                  <c:v>2220</c:v>
                </c:pt>
                <c:pt idx="87">
                  <c:v>2100</c:v>
                </c:pt>
                <c:pt idx="88">
                  <c:v>1974</c:v>
                </c:pt>
                <c:pt idx="89">
                  <c:v>1898</c:v>
                </c:pt>
                <c:pt idx="90">
                  <c:v>1727</c:v>
                </c:pt>
                <c:pt idx="91">
                  <c:v>1695</c:v>
                </c:pt>
                <c:pt idx="92">
                  <c:v>1562</c:v>
                </c:pt>
                <c:pt idx="93">
                  <c:v>1112</c:v>
                </c:pt>
                <c:pt idx="94">
                  <c:v>1024</c:v>
                </c:pt>
                <c:pt idx="95">
                  <c:v>819</c:v>
                </c:pt>
                <c:pt idx="96">
                  <c:v>781</c:v>
                </c:pt>
                <c:pt idx="97">
                  <c:v>752</c:v>
                </c:pt>
                <c:pt idx="98">
                  <c:v>704</c:v>
                </c:pt>
                <c:pt idx="99">
                  <c:v>680</c:v>
                </c:pt>
                <c:pt idx="100">
                  <c:v>544</c:v>
                </c:pt>
                <c:pt idx="101">
                  <c:v>378</c:v>
                </c:pt>
                <c:pt idx="102">
                  <c:v>321</c:v>
                </c:pt>
                <c:pt idx="103">
                  <c:v>296</c:v>
                </c:pt>
                <c:pt idx="104">
                  <c:v>211</c:v>
                </c:pt>
                <c:pt idx="105">
                  <c:v>200</c:v>
                </c:pt>
                <c:pt idx="106">
                  <c:v>200</c:v>
                </c:pt>
                <c:pt idx="107">
                  <c:v>160</c:v>
                </c:pt>
                <c:pt idx="108">
                  <c:v>129</c:v>
                </c:pt>
                <c:pt idx="109">
                  <c:v>84</c:v>
                </c:pt>
                <c:pt idx="110">
                  <c:v>55</c:v>
                </c:pt>
                <c:pt idx="111">
                  <c:v>40</c:v>
                </c:pt>
              </c:numCache>
            </c:numRef>
          </c:yVal>
          <c:smooth val="1"/>
        </c:ser>
        <c:axId val="14596159"/>
        <c:axId val="2702512"/>
      </c:scatterChart>
      <c:valAx>
        <c:axId val="145961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PIB del pais importador 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2512"/>
        <c:crosses val="autoZero"/>
        <c:crossBetween val="midCat"/>
      </c:valAx>
      <c:valAx>
        <c:axId val="2702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total 2008-2024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9615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187200</xdr:colOff>
      <xdr:row>26</xdr:row>
      <xdr:rowOff>86760</xdr:rowOff>
    </xdr:to>
    <xdr:graphicFrame>
      <xdr:nvGraphicFramePr>
        <xdr:cNvPr id="0" name="Chart 1"/>
        <xdr:cNvGraphicFramePr/>
      </xdr:nvGraphicFramePr>
      <xdr:xfrm>
        <a:off x="0" y="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15</xdr:col>
      <xdr:colOff>187200</xdr:colOff>
      <xdr:row>55</xdr:row>
      <xdr:rowOff>86760</xdr:rowOff>
    </xdr:to>
    <xdr:graphicFrame>
      <xdr:nvGraphicFramePr>
        <xdr:cNvPr id="1" name="Chart 2"/>
        <xdr:cNvGraphicFramePr/>
      </xdr:nvGraphicFramePr>
      <xdr:xfrm>
        <a:off x="0" y="5524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15</xdr:col>
      <xdr:colOff>187200</xdr:colOff>
      <xdr:row>85</xdr:row>
      <xdr:rowOff>86760</xdr:rowOff>
    </xdr:to>
    <xdr:graphicFrame>
      <xdr:nvGraphicFramePr>
        <xdr:cNvPr id="2" name="Chart 3"/>
        <xdr:cNvGraphicFramePr/>
      </xdr:nvGraphicFramePr>
      <xdr:xfrm>
        <a:off x="0" y="11239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9</v>
      </c>
    </row>
    <row r="10" customFormat="false" ht="15" hidden="false" customHeight="false" outlineLevel="0" collapsed="false">
      <c r="A10" s="2" t="s">
        <v>17</v>
      </c>
      <c r="B10" s="2" t="s">
        <v>11</v>
      </c>
    </row>
    <row r="11" customFormat="false" ht="15" hidden="false" customHeight="false" outlineLevel="0" collapsed="false">
      <c r="A11" s="2" t="s">
        <v>18</v>
      </c>
      <c r="B11" s="2" t="s">
        <v>9</v>
      </c>
    </row>
    <row r="12" customFormat="false" ht="15" hidden="false" customHeight="false" outlineLevel="0" collapsed="false">
      <c r="A12" s="2" t="s">
        <v>19</v>
      </c>
      <c r="B12" s="2" t="s">
        <v>15</v>
      </c>
    </row>
    <row r="13" customFormat="false" ht="15" hidden="false" customHeight="false" outlineLevel="0" collapsed="false">
      <c r="A13" s="2" t="s">
        <v>20</v>
      </c>
      <c r="B13" s="2" t="s">
        <v>15</v>
      </c>
    </row>
    <row r="14" customFormat="false" ht="15" hidden="false" customHeight="false" outlineLevel="0" collapsed="false">
      <c r="A14" s="2" t="s">
        <v>21</v>
      </c>
      <c r="B14" s="2" t="s">
        <v>7</v>
      </c>
    </row>
    <row r="15" customFormat="false" ht="15" hidden="false" customHeight="false" outlineLevel="0" collapsed="false">
      <c r="A15" s="2" t="s">
        <v>22</v>
      </c>
      <c r="B15" s="2" t="s">
        <v>15</v>
      </c>
    </row>
    <row r="16" customFormat="false" ht="15" hidden="false" customHeight="false" outlineLevel="0" collapsed="false">
      <c r="A16" s="2" t="s">
        <v>23</v>
      </c>
      <c r="B16" s="2" t="s">
        <v>7</v>
      </c>
    </row>
    <row r="17" customFormat="false" ht="15" hidden="false" customHeight="false" outlineLevel="0" collapsed="false">
      <c r="A17" s="2" t="s">
        <v>24</v>
      </c>
      <c r="B17" s="2" t="s">
        <v>15</v>
      </c>
    </row>
    <row r="18" customFormat="false" ht="15" hidden="false" customHeight="false" outlineLevel="0" collapsed="false">
      <c r="A18" s="2" t="s">
        <v>25</v>
      </c>
      <c r="B18" s="2" t="s">
        <v>11</v>
      </c>
    </row>
    <row r="19" customFormat="false" ht="15" hidden="false" customHeight="false" outlineLevel="0" collapsed="false">
      <c r="A19" s="2" t="s">
        <v>26</v>
      </c>
      <c r="B19" s="2" t="s">
        <v>7</v>
      </c>
    </row>
    <row r="20" customFormat="false" ht="15" hidden="false" customHeight="false" outlineLevel="0" collapsed="false">
      <c r="A20" s="2" t="s">
        <v>27</v>
      </c>
      <c r="B20" s="2" t="s">
        <v>9</v>
      </c>
    </row>
    <row r="21" customFormat="false" ht="15" hidden="false" customHeight="false" outlineLevel="0" collapsed="false">
      <c r="A21" s="2" t="s">
        <v>28</v>
      </c>
      <c r="B21" s="2" t="s">
        <v>9</v>
      </c>
    </row>
    <row r="22" customFormat="false" ht="15" hidden="false" customHeight="false" outlineLevel="0" collapsed="false">
      <c r="A22" s="2" t="s">
        <v>29</v>
      </c>
      <c r="B22" s="2" t="s">
        <v>7</v>
      </c>
    </row>
    <row r="23" customFormat="false" ht="15" hidden="false" customHeight="false" outlineLevel="0" collapsed="false">
      <c r="A23" s="2" t="s">
        <v>30</v>
      </c>
      <c r="B23" s="2" t="s">
        <v>11</v>
      </c>
    </row>
    <row r="24" customFormat="false" ht="15" hidden="false" customHeight="false" outlineLevel="0" collapsed="false">
      <c r="A24" s="2" t="s">
        <v>31</v>
      </c>
      <c r="B24" s="2" t="s">
        <v>15</v>
      </c>
    </row>
    <row r="25" customFormat="false" ht="15" hidden="false" customHeight="false" outlineLevel="0" collapsed="false">
      <c r="A25" s="2" t="s">
        <v>32</v>
      </c>
      <c r="B25" s="2" t="s">
        <v>11</v>
      </c>
    </row>
    <row r="26" customFormat="false" ht="15" hidden="false" customHeight="false" outlineLevel="0" collapsed="false">
      <c r="A26" s="2" t="s">
        <v>33</v>
      </c>
      <c r="B26" s="2" t="s">
        <v>11</v>
      </c>
    </row>
    <row r="27" customFormat="false" ht="15" hidden="false" customHeight="false" outlineLevel="0" collapsed="false">
      <c r="A27" s="2" t="s">
        <v>34</v>
      </c>
      <c r="B27" s="2" t="s">
        <v>15</v>
      </c>
    </row>
    <row r="28" customFormat="false" ht="15" hidden="false" customHeight="false" outlineLevel="0" collapsed="false">
      <c r="A28" s="2" t="s">
        <v>35</v>
      </c>
      <c r="B28" s="2" t="s">
        <v>15</v>
      </c>
    </row>
    <row r="29" customFormat="false" ht="15" hidden="false" customHeight="false" outlineLevel="0" collapsed="false">
      <c r="A29" s="2" t="s">
        <v>36</v>
      </c>
      <c r="B29" s="2" t="s">
        <v>9</v>
      </c>
    </row>
    <row r="30" customFormat="false" ht="15" hidden="false" customHeight="false" outlineLevel="0" collapsed="false">
      <c r="A30" s="2" t="s">
        <v>37</v>
      </c>
      <c r="B30" s="2" t="s">
        <v>11</v>
      </c>
    </row>
    <row r="31" customFormat="false" ht="15" hidden="false" customHeight="false" outlineLevel="0" collapsed="false">
      <c r="A31" s="2" t="s">
        <v>38</v>
      </c>
      <c r="B31" s="2" t="s">
        <v>3</v>
      </c>
    </row>
    <row r="32" customFormat="false" ht="15" hidden="false" customHeight="false" outlineLevel="0" collapsed="false">
      <c r="A32" s="2" t="s">
        <v>39</v>
      </c>
      <c r="B32" s="2" t="s">
        <v>11</v>
      </c>
    </row>
    <row r="33" customFormat="false" ht="15" hidden="false" customHeight="false" outlineLevel="0" collapsed="false">
      <c r="A33" s="2" t="s">
        <v>40</v>
      </c>
      <c r="B33" s="2" t="s">
        <v>15</v>
      </c>
    </row>
    <row r="34" customFormat="false" ht="15" hidden="false" customHeight="false" outlineLevel="0" collapsed="false">
      <c r="A34" s="2" t="s">
        <v>41</v>
      </c>
      <c r="B34" s="2" t="s">
        <v>15</v>
      </c>
    </row>
    <row r="35" customFormat="false" ht="15" hidden="false" customHeight="false" outlineLevel="0" collapsed="false">
      <c r="A35" s="2" t="s">
        <v>42</v>
      </c>
      <c r="B35" s="2" t="s">
        <v>15</v>
      </c>
    </row>
    <row r="36" customFormat="false" ht="15" hidden="false" customHeight="false" outlineLevel="0" collapsed="false">
      <c r="A36" s="2" t="s">
        <v>43</v>
      </c>
      <c r="B36" s="2" t="s">
        <v>5</v>
      </c>
    </row>
    <row r="37" customFormat="false" ht="15" hidden="false" customHeight="false" outlineLevel="0" collapsed="false">
      <c r="A37" s="2" t="s">
        <v>44</v>
      </c>
      <c r="B37" s="2" t="s">
        <v>9</v>
      </c>
    </row>
    <row r="38" customFormat="false" ht="15" hidden="false" customHeight="false" outlineLevel="0" collapsed="false">
      <c r="A38" s="2" t="s">
        <v>45</v>
      </c>
      <c r="B38" s="2" t="s">
        <v>15</v>
      </c>
    </row>
    <row r="39" customFormat="false" ht="15" hidden="false" customHeight="false" outlineLevel="0" collapsed="false">
      <c r="A39" s="2" t="s">
        <v>46</v>
      </c>
      <c r="B39" s="2" t="s">
        <v>15</v>
      </c>
    </row>
    <row r="40" customFormat="false" ht="15" hidden="false" customHeight="false" outlineLevel="0" collapsed="false">
      <c r="A40" s="2" t="s">
        <v>47</v>
      </c>
      <c r="B40" s="2" t="s">
        <v>13</v>
      </c>
    </row>
    <row r="41" customFormat="false" ht="15" hidden="false" customHeight="false" outlineLevel="0" collapsed="false">
      <c r="A41" s="2" t="s">
        <v>48</v>
      </c>
      <c r="B41" s="2" t="s">
        <v>11</v>
      </c>
    </row>
    <row r="42" customFormat="false" ht="15" hidden="false" customHeight="false" outlineLevel="0" collapsed="false">
      <c r="A42" s="2" t="s">
        <v>49</v>
      </c>
      <c r="B42" s="2" t="s">
        <v>7</v>
      </c>
    </row>
    <row r="43" customFormat="false" ht="15" hidden="false" customHeight="false" outlineLevel="0" collapsed="false">
      <c r="A43" s="2" t="s">
        <v>50</v>
      </c>
      <c r="B43" s="2" t="s">
        <v>11</v>
      </c>
    </row>
    <row r="44" customFormat="false" ht="15" hidden="false" customHeight="false" outlineLevel="0" collapsed="false">
      <c r="A44" s="2" t="s">
        <v>51</v>
      </c>
      <c r="B44" s="2" t="s">
        <v>11</v>
      </c>
    </row>
    <row r="45" customFormat="false" ht="15" hidden="false" customHeight="false" outlineLevel="0" collapsed="false">
      <c r="A45" s="2" t="s">
        <v>52</v>
      </c>
      <c r="B45" s="2" t="s">
        <v>15</v>
      </c>
    </row>
    <row r="46" customFormat="false" ht="15" hidden="false" customHeight="false" outlineLevel="0" collapsed="false">
      <c r="A46" s="2" t="s">
        <v>53</v>
      </c>
      <c r="B46" s="2" t="s">
        <v>9</v>
      </c>
    </row>
    <row r="47" customFormat="false" ht="15" hidden="false" customHeight="false" outlineLevel="0" collapsed="false">
      <c r="A47" s="2" t="s">
        <v>54</v>
      </c>
      <c r="B47" s="2" t="s">
        <v>9</v>
      </c>
    </row>
    <row r="48" customFormat="false" ht="15" hidden="false" customHeight="false" outlineLevel="0" collapsed="false">
      <c r="A48" s="2" t="s">
        <v>55</v>
      </c>
      <c r="B48" s="2" t="s">
        <v>9</v>
      </c>
    </row>
    <row r="49" customFormat="false" ht="15" hidden="false" customHeight="false" outlineLevel="0" collapsed="false">
      <c r="A49" s="2" t="s">
        <v>56</v>
      </c>
      <c r="B49" s="2" t="s">
        <v>9</v>
      </c>
    </row>
    <row r="50" customFormat="false" ht="15" hidden="false" customHeight="false" outlineLevel="0" collapsed="false">
      <c r="A50" s="2" t="s">
        <v>57</v>
      </c>
      <c r="B50" s="2" t="s">
        <v>15</v>
      </c>
    </row>
    <row r="51" customFormat="false" ht="15" hidden="false" customHeight="false" outlineLevel="0" collapsed="false">
      <c r="A51" s="2" t="s">
        <v>58</v>
      </c>
      <c r="B51" s="2" t="s">
        <v>9</v>
      </c>
    </row>
    <row r="52" customFormat="false" ht="15" hidden="false" customHeight="false" outlineLevel="0" collapsed="false">
      <c r="A52" s="2" t="s">
        <v>59</v>
      </c>
      <c r="B52" s="2" t="s">
        <v>15</v>
      </c>
    </row>
    <row r="53" customFormat="false" ht="15" hidden="false" customHeight="false" outlineLevel="0" collapsed="false">
      <c r="A53" s="2" t="s">
        <v>60</v>
      </c>
      <c r="B53" s="2" t="s">
        <v>11</v>
      </c>
    </row>
    <row r="54" customFormat="false" ht="15" hidden="false" customHeight="false" outlineLevel="0" collapsed="false">
      <c r="A54" s="2" t="s">
        <v>61</v>
      </c>
      <c r="B54" s="2" t="s">
        <v>9</v>
      </c>
    </row>
    <row r="55" customFormat="false" ht="15" hidden="false" customHeight="false" outlineLevel="0" collapsed="false">
      <c r="A55" s="2" t="s">
        <v>62</v>
      </c>
      <c r="B55" s="2" t="s">
        <v>9</v>
      </c>
    </row>
    <row r="56" customFormat="false" ht="15" hidden="false" customHeight="false" outlineLevel="0" collapsed="false">
      <c r="A56" s="2" t="s">
        <v>63</v>
      </c>
      <c r="B56" s="2" t="s">
        <v>9</v>
      </c>
    </row>
    <row r="57" customFormat="false" ht="15" hidden="false" customHeight="false" outlineLevel="0" collapsed="false">
      <c r="A57" s="2" t="s">
        <v>64</v>
      </c>
      <c r="B57" s="2" t="s">
        <v>9</v>
      </c>
    </row>
    <row r="58" customFormat="false" ht="15" hidden="false" customHeight="false" outlineLevel="0" collapsed="false">
      <c r="A58" s="2" t="s">
        <v>65</v>
      </c>
      <c r="B58" s="2" t="s">
        <v>9</v>
      </c>
    </row>
    <row r="59" customFormat="false" ht="15" hidden="false" customHeight="false" outlineLevel="0" collapsed="false">
      <c r="A59" s="2" t="s">
        <v>66</v>
      </c>
      <c r="B59" s="2" t="s">
        <v>15</v>
      </c>
    </row>
    <row r="60" customFormat="false" ht="15" hidden="false" customHeight="false" outlineLevel="0" collapsed="false">
      <c r="A60" s="2" t="s">
        <v>67</v>
      </c>
      <c r="B60" s="2" t="s">
        <v>9</v>
      </c>
    </row>
    <row r="61" customFormat="false" ht="15" hidden="false" customHeight="false" outlineLevel="0" collapsed="false">
      <c r="A61" s="2" t="s">
        <v>68</v>
      </c>
      <c r="B61" s="2" t="s">
        <v>15</v>
      </c>
    </row>
    <row r="62" customFormat="false" ht="15" hidden="false" customHeight="false" outlineLevel="0" collapsed="false">
      <c r="A62" s="2" t="s">
        <v>69</v>
      </c>
      <c r="B62" s="2" t="s">
        <v>15</v>
      </c>
    </row>
    <row r="63" customFormat="false" ht="15" hidden="false" customHeight="false" outlineLevel="0" collapsed="false">
      <c r="A63" s="2" t="s">
        <v>70</v>
      </c>
      <c r="B63" s="2" t="s">
        <v>9</v>
      </c>
    </row>
    <row r="64" customFormat="false" ht="15" hidden="false" customHeight="false" outlineLevel="0" collapsed="false">
      <c r="A64" s="2" t="s">
        <v>71</v>
      </c>
      <c r="B64" s="2" t="s">
        <v>9</v>
      </c>
    </row>
    <row r="65" customFormat="false" ht="15" hidden="false" customHeight="false" outlineLevel="0" collapsed="false">
      <c r="A65" s="2" t="s">
        <v>72</v>
      </c>
      <c r="B65" s="2" t="s">
        <v>15</v>
      </c>
    </row>
    <row r="66" customFormat="false" ht="15" hidden="false" customHeight="false" outlineLevel="0" collapsed="false">
      <c r="A66" s="2" t="s">
        <v>73</v>
      </c>
      <c r="B66" s="2" t="s">
        <v>11</v>
      </c>
    </row>
    <row r="67" customFormat="false" ht="15" hidden="false" customHeight="false" outlineLevel="0" collapsed="false">
      <c r="A67" s="2" t="s">
        <v>74</v>
      </c>
      <c r="B67" s="2" t="s">
        <v>9</v>
      </c>
    </row>
    <row r="68" customFormat="false" ht="15" hidden="false" customHeight="false" outlineLevel="0" collapsed="false">
      <c r="A68" s="2" t="s">
        <v>75</v>
      </c>
      <c r="B68" s="2" t="s">
        <v>15</v>
      </c>
    </row>
    <row r="69" customFormat="false" ht="15" hidden="false" customHeight="false" outlineLevel="0" collapsed="false">
      <c r="A69" s="2" t="s">
        <v>76</v>
      </c>
      <c r="B69" s="2" t="s">
        <v>13</v>
      </c>
    </row>
    <row r="70" customFormat="false" ht="15" hidden="false" customHeight="false" outlineLevel="0" collapsed="false">
      <c r="A70" s="2" t="s">
        <v>77</v>
      </c>
      <c r="B70" s="2" t="s">
        <v>15</v>
      </c>
    </row>
    <row r="71" customFormat="false" ht="15" hidden="false" customHeight="false" outlineLevel="0" collapsed="false">
      <c r="A71" s="2" t="s">
        <v>78</v>
      </c>
      <c r="B71" s="2" t="s">
        <v>11</v>
      </c>
    </row>
    <row r="72" customFormat="false" ht="15" hidden="false" customHeight="false" outlineLevel="0" collapsed="false">
      <c r="A72" s="2" t="s">
        <v>79</v>
      </c>
      <c r="B72" s="2" t="s">
        <v>13</v>
      </c>
    </row>
    <row r="73" customFormat="false" ht="15" hidden="false" customHeight="false" outlineLevel="0" collapsed="false">
      <c r="A73" s="2" t="s">
        <v>80</v>
      </c>
      <c r="B73" s="2" t="s">
        <v>11</v>
      </c>
    </row>
    <row r="74" customFormat="false" ht="15" hidden="false" customHeight="false" outlineLevel="0" collapsed="false">
      <c r="A74" s="2" t="s">
        <v>81</v>
      </c>
      <c r="B74" s="2" t="s">
        <v>3</v>
      </c>
    </row>
    <row r="75" customFormat="false" ht="15" hidden="false" customHeight="false" outlineLevel="0" collapsed="false">
      <c r="A75" s="2" t="s">
        <v>82</v>
      </c>
      <c r="B75" s="2" t="s">
        <v>15</v>
      </c>
    </row>
    <row r="76" customFormat="false" ht="15" hidden="false" customHeight="false" outlineLevel="0" collapsed="false">
      <c r="A76" s="2" t="s">
        <v>83</v>
      </c>
      <c r="B76" s="2" t="s">
        <v>15</v>
      </c>
    </row>
    <row r="77" customFormat="false" ht="15" hidden="false" customHeight="false" outlineLevel="0" collapsed="false">
      <c r="A77" s="2" t="s">
        <v>84</v>
      </c>
      <c r="B77" s="2" t="s">
        <v>9</v>
      </c>
    </row>
    <row r="78" customFormat="false" ht="15" hidden="false" customHeight="false" outlineLevel="0" collapsed="false">
      <c r="A78" s="2" t="s">
        <v>85</v>
      </c>
      <c r="B78" s="2" t="s">
        <v>9</v>
      </c>
    </row>
    <row r="79" customFormat="false" ht="15" hidden="false" customHeight="false" outlineLevel="0" collapsed="false">
      <c r="A79" s="2" t="s">
        <v>86</v>
      </c>
      <c r="B79" s="2" t="s">
        <v>11</v>
      </c>
    </row>
    <row r="80" customFormat="false" ht="15" hidden="false" customHeight="false" outlineLevel="0" collapsed="false">
      <c r="A80" s="2" t="s">
        <v>87</v>
      </c>
      <c r="B80" s="2" t="s">
        <v>7</v>
      </c>
    </row>
    <row r="81" customFormat="false" ht="15" hidden="false" customHeight="false" outlineLevel="0" collapsed="false">
      <c r="A81" s="2" t="s">
        <v>88</v>
      </c>
      <c r="B81" s="2" t="s">
        <v>7</v>
      </c>
    </row>
    <row r="82" customFormat="false" ht="15" hidden="false" customHeight="false" outlineLevel="0" collapsed="false">
      <c r="A82" s="2" t="s">
        <v>89</v>
      </c>
      <c r="B82" s="2" t="s">
        <v>9</v>
      </c>
    </row>
    <row r="83" customFormat="false" ht="15" hidden="false" customHeight="false" outlineLevel="0" collapsed="false">
      <c r="A83" s="2" t="s">
        <v>90</v>
      </c>
      <c r="B83" s="2" t="s">
        <v>15</v>
      </c>
    </row>
    <row r="84" customFormat="false" ht="15" hidden="false" customHeight="false" outlineLevel="0" collapsed="false">
      <c r="A84" s="2" t="s">
        <v>91</v>
      </c>
      <c r="B84" s="2" t="s">
        <v>15</v>
      </c>
    </row>
    <row r="85" customFormat="false" ht="15" hidden="false" customHeight="false" outlineLevel="0" collapsed="false">
      <c r="A85" s="2" t="s">
        <v>92</v>
      </c>
      <c r="B85" s="2" t="s">
        <v>9</v>
      </c>
    </row>
    <row r="86" customFormat="false" ht="15" hidden="false" customHeight="false" outlineLevel="0" collapsed="false">
      <c r="A86" s="2" t="s">
        <v>93</v>
      </c>
      <c r="B86" s="2" t="s">
        <v>9</v>
      </c>
    </row>
    <row r="87" customFormat="false" ht="15" hidden="false" customHeight="false" outlineLevel="0" collapsed="false">
      <c r="A87" s="2" t="s">
        <v>94</v>
      </c>
      <c r="B87" s="2" t="s">
        <v>15</v>
      </c>
    </row>
    <row r="88" customFormat="false" ht="15" hidden="false" customHeight="false" outlineLevel="0" collapsed="false">
      <c r="A88" s="2" t="s">
        <v>95</v>
      </c>
      <c r="B88" s="2" t="s">
        <v>15</v>
      </c>
    </row>
    <row r="89" customFormat="false" ht="15" hidden="false" customHeight="false" outlineLevel="0" collapsed="false">
      <c r="A89" s="2" t="s">
        <v>96</v>
      </c>
      <c r="B89" s="2" t="s">
        <v>15</v>
      </c>
    </row>
    <row r="90" customFormat="false" ht="15" hidden="false" customHeight="false" outlineLevel="0" collapsed="false">
      <c r="A90" s="2" t="s">
        <v>97</v>
      </c>
      <c r="B90" s="2" t="s">
        <v>11</v>
      </c>
    </row>
    <row r="91" customFormat="false" ht="15" hidden="false" customHeight="false" outlineLevel="0" collapsed="false">
      <c r="A91" s="2" t="s">
        <v>98</v>
      </c>
      <c r="B91" s="2" t="s">
        <v>11</v>
      </c>
    </row>
    <row r="92" customFormat="false" ht="15" hidden="false" customHeight="false" outlineLevel="0" collapsed="false">
      <c r="A92" s="2" t="s">
        <v>99</v>
      </c>
      <c r="B92" s="2" t="s">
        <v>11</v>
      </c>
    </row>
    <row r="93" customFormat="false" ht="15" hidden="false" customHeight="false" outlineLevel="0" collapsed="false">
      <c r="A93" s="2" t="s">
        <v>100</v>
      </c>
      <c r="B93" s="2" t="s">
        <v>9</v>
      </c>
    </row>
    <row r="94" customFormat="false" ht="15" hidden="false" customHeight="false" outlineLevel="0" collapsed="false">
      <c r="A94" s="2" t="s">
        <v>101</v>
      </c>
      <c r="B94" s="2" t="s">
        <v>15</v>
      </c>
    </row>
    <row r="95" customFormat="false" ht="15" hidden="false" customHeight="false" outlineLevel="0" collapsed="false">
      <c r="A95" s="2" t="s">
        <v>102</v>
      </c>
      <c r="B95" s="2" t="s">
        <v>9</v>
      </c>
    </row>
    <row r="96" customFormat="false" ht="15" hidden="false" customHeight="false" outlineLevel="0" collapsed="false">
      <c r="A96" s="2" t="s">
        <v>103</v>
      </c>
      <c r="B96" s="2" t="s">
        <v>15</v>
      </c>
    </row>
    <row r="97" customFormat="false" ht="15" hidden="false" customHeight="false" outlineLevel="0" collapsed="false">
      <c r="A97" s="2" t="s">
        <v>104</v>
      </c>
      <c r="B97" s="2" t="s">
        <v>15</v>
      </c>
    </row>
    <row r="98" customFormat="false" ht="15" hidden="false" customHeight="false" outlineLevel="0" collapsed="false">
      <c r="A98" s="2" t="s">
        <v>105</v>
      </c>
      <c r="B98" s="2" t="s">
        <v>15</v>
      </c>
    </row>
    <row r="99" customFormat="false" ht="15" hidden="false" customHeight="false" outlineLevel="0" collapsed="false">
      <c r="A99" s="2" t="s">
        <v>106</v>
      </c>
      <c r="B99" s="2" t="s">
        <v>7</v>
      </c>
    </row>
    <row r="100" customFormat="false" ht="15" hidden="false" customHeight="false" outlineLevel="0" collapsed="false">
      <c r="A100" s="2" t="s">
        <v>107</v>
      </c>
      <c r="B100" s="2" t="s">
        <v>15</v>
      </c>
    </row>
    <row r="101" customFormat="false" ht="15" hidden="false" customHeight="false" outlineLevel="0" collapsed="false">
      <c r="A101" s="2" t="s">
        <v>108</v>
      </c>
      <c r="B101" s="2" t="s">
        <v>15</v>
      </c>
    </row>
    <row r="102" customFormat="false" ht="15" hidden="false" customHeight="false" outlineLevel="0" collapsed="false">
      <c r="A102" s="2" t="s">
        <v>109</v>
      </c>
      <c r="B102" s="2" t="s">
        <v>9</v>
      </c>
    </row>
    <row r="103" customFormat="false" ht="15" hidden="false" customHeight="false" outlineLevel="0" collapsed="false">
      <c r="A103" s="2" t="s">
        <v>110</v>
      </c>
      <c r="B103" s="2" t="s">
        <v>9</v>
      </c>
    </row>
    <row r="104" customFormat="false" ht="15" hidden="false" customHeight="false" outlineLevel="0" collapsed="false">
      <c r="A104" s="2" t="s">
        <v>111</v>
      </c>
      <c r="B104" s="2" t="s">
        <v>11</v>
      </c>
    </row>
    <row r="105" customFormat="false" ht="15" hidden="false" customHeight="false" outlineLevel="0" collapsed="false">
      <c r="A105" s="2" t="s">
        <v>112</v>
      </c>
      <c r="B105" s="2" t="s">
        <v>9</v>
      </c>
    </row>
    <row r="106" customFormat="false" ht="15" hidden="false" customHeight="false" outlineLevel="0" collapsed="false">
      <c r="A106" s="2" t="s">
        <v>113</v>
      </c>
      <c r="B106" s="2" t="s">
        <v>15</v>
      </c>
    </row>
    <row r="107" customFormat="false" ht="15" hidden="false" customHeight="false" outlineLevel="0" collapsed="false">
      <c r="A107" s="2" t="s">
        <v>114</v>
      </c>
      <c r="B107" s="2" t="s">
        <v>11</v>
      </c>
    </row>
    <row r="108" customFormat="false" ht="15" hidden="false" customHeight="false" outlineLevel="0" collapsed="false">
      <c r="A108" s="2" t="s">
        <v>115</v>
      </c>
      <c r="B108" s="2" t="s">
        <v>15</v>
      </c>
    </row>
    <row r="109" customFormat="false" ht="15" hidden="false" customHeight="false" outlineLevel="0" collapsed="false">
      <c r="A109" s="2" t="s">
        <v>116</v>
      </c>
      <c r="B109" s="2" t="s">
        <v>9</v>
      </c>
    </row>
    <row r="110" customFormat="false" ht="15" hidden="false" customHeight="false" outlineLevel="0" collapsed="false">
      <c r="A110" s="2" t="s">
        <v>117</v>
      </c>
      <c r="B110" s="2" t="s">
        <v>15</v>
      </c>
    </row>
    <row r="111" customFormat="false" ht="15" hidden="false" customHeight="false" outlineLevel="0" collapsed="false">
      <c r="A111" s="2" t="s">
        <v>118</v>
      </c>
      <c r="B111" s="2" t="s">
        <v>7</v>
      </c>
    </row>
    <row r="112" customFormat="false" ht="15" hidden="false" customHeight="false" outlineLevel="0" collapsed="false">
      <c r="A112" s="2" t="s">
        <v>119</v>
      </c>
      <c r="B112" s="2" t="s">
        <v>9</v>
      </c>
    </row>
    <row r="113" customFormat="false" ht="15" hidden="false" customHeight="false" outlineLevel="0" collapsed="false">
      <c r="A113" s="2" t="s">
        <v>120</v>
      </c>
      <c r="B1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5"/>
  </cols>
  <sheetData>
    <row r="1" customFormat="false" ht="23.85" hidden="false" customHeight="false" outlineLevel="0" collapsed="false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 customFormat="false" ht="15" hidden="false" customHeight="false" outlineLevel="0" collapsed="false">
      <c r="A2" s="2" t="s">
        <v>6</v>
      </c>
      <c r="B2" s="2" t="s">
        <v>125</v>
      </c>
      <c r="C2" s="2" t="n">
        <v>2008</v>
      </c>
      <c r="D2" s="2" t="n">
        <v>5</v>
      </c>
      <c r="E2" s="2" t="s">
        <v>126</v>
      </c>
    </row>
    <row r="3" customFormat="false" ht="15" hidden="false" customHeight="false" outlineLevel="0" collapsed="false">
      <c r="A3" s="2" t="s">
        <v>14</v>
      </c>
      <c r="B3" s="2" t="s">
        <v>127</v>
      </c>
      <c r="C3" s="2" t="n">
        <v>2017</v>
      </c>
      <c r="D3" s="2" t="n">
        <v>0</v>
      </c>
      <c r="E3" s="2" t="s">
        <v>128</v>
      </c>
    </row>
    <row r="4" customFormat="false" ht="15" hidden="false" customHeight="false" outlineLevel="0" collapsed="false">
      <c r="A4" s="2" t="s">
        <v>20</v>
      </c>
      <c r="B4" s="2" t="s">
        <v>127</v>
      </c>
      <c r="C4" s="2" t="n">
        <v>2017</v>
      </c>
      <c r="D4" s="2" t="n">
        <v>0</v>
      </c>
      <c r="E4" s="2" t="s">
        <v>128</v>
      </c>
    </row>
    <row r="5" customFormat="false" ht="15" hidden="false" customHeight="false" outlineLevel="0" collapsed="false">
      <c r="A5" s="2" t="s">
        <v>21</v>
      </c>
      <c r="B5" s="2" t="s">
        <v>125</v>
      </c>
      <c r="C5" s="2" t="n">
        <v>2008</v>
      </c>
      <c r="D5" s="2" t="n">
        <v>0</v>
      </c>
      <c r="E5" s="2" t="s">
        <v>129</v>
      </c>
    </row>
    <row r="6" customFormat="false" ht="15" hidden="false" customHeight="false" outlineLevel="0" collapsed="false">
      <c r="A6" s="2" t="s">
        <v>23</v>
      </c>
      <c r="B6" s="2" t="s">
        <v>125</v>
      </c>
      <c r="C6" s="2" t="n">
        <v>2008</v>
      </c>
      <c r="D6" s="2" t="n">
        <v>5</v>
      </c>
      <c r="E6" s="2" t="s">
        <v>126</v>
      </c>
    </row>
    <row r="7" customFormat="false" ht="15" hidden="false" customHeight="false" outlineLevel="0" collapsed="false">
      <c r="A7" s="2" t="s">
        <v>24</v>
      </c>
      <c r="B7" s="2" t="s">
        <v>127</v>
      </c>
      <c r="C7" s="2" t="n">
        <v>2017</v>
      </c>
      <c r="D7" s="2" t="n">
        <v>0</v>
      </c>
      <c r="E7" s="2" t="s">
        <v>128</v>
      </c>
    </row>
    <row r="8" customFormat="false" ht="15" hidden="false" customHeight="false" outlineLevel="0" collapsed="false">
      <c r="A8" s="2" t="s">
        <v>26</v>
      </c>
      <c r="B8" s="2" t="s">
        <v>127</v>
      </c>
      <c r="C8" s="2" t="n">
        <v>2010</v>
      </c>
      <c r="D8" s="2" t="n">
        <v>0</v>
      </c>
      <c r="E8" s="2" t="s">
        <v>130</v>
      </c>
    </row>
    <row r="9" customFormat="false" ht="15" hidden="false" customHeight="false" outlineLevel="0" collapsed="false">
      <c r="A9" s="2" t="s">
        <v>27</v>
      </c>
      <c r="B9" s="2" t="s">
        <v>127</v>
      </c>
      <c r="C9" s="2" t="n">
        <v>2024</v>
      </c>
      <c r="D9" s="2" t="n">
        <v>0</v>
      </c>
      <c r="E9" s="2" t="s">
        <v>131</v>
      </c>
    </row>
    <row r="10" customFormat="false" ht="15" hidden="false" customHeight="false" outlineLevel="0" collapsed="false">
      <c r="A10" s="2" t="s">
        <v>29</v>
      </c>
      <c r="B10" s="2" t="s">
        <v>125</v>
      </c>
      <c r="C10" s="2" t="n">
        <v>2008</v>
      </c>
      <c r="D10" s="2" t="n">
        <v>0</v>
      </c>
      <c r="E10" s="2" t="s">
        <v>129</v>
      </c>
    </row>
    <row r="11" customFormat="false" ht="15" hidden="false" customHeight="false" outlineLevel="0" collapsed="false">
      <c r="A11" s="2" t="s">
        <v>30</v>
      </c>
      <c r="B11" s="2" t="s">
        <v>127</v>
      </c>
      <c r="C11" s="2" t="n">
        <v>2024</v>
      </c>
      <c r="D11" s="2" t="n">
        <v>0</v>
      </c>
      <c r="E11" s="2" t="s">
        <v>132</v>
      </c>
    </row>
    <row r="12" customFormat="false" ht="15" hidden="false" customHeight="false" outlineLevel="0" collapsed="false">
      <c r="A12" s="2" t="s">
        <v>31</v>
      </c>
      <c r="B12" s="2" t="s">
        <v>127</v>
      </c>
      <c r="C12" s="2" t="n">
        <v>2017</v>
      </c>
      <c r="D12" s="2" t="n">
        <v>0</v>
      </c>
      <c r="E12" s="2" t="s">
        <v>128</v>
      </c>
    </row>
    <row r="13" customFormat="false" ht="15" hidden="false" customHeight="false" outlineLevel="0" collapsed="false">
      <c r="A13" s="2" t="s">
        <v>32</v>
      </c>
      <c r="B13" s="2" t="s">
        <v>125</v>
      </c>
      <c r="C13" s="2" t="n">
        <v>2008</v>
      </c>
      <c r="D13" s="2" t="n">
        <v>10</v>
      </c>
      <c r="E13" s="2" t="s">
        <v>133</v>
      </c>
    </row>
    <row r="14" customFormat="false" ht="15" hidden="false" customHeight="false" outlineLevel="0" collapsed="false">
      <c r="A14" s="2" t="s">
        <v>34</v>
      </c>
      <c r="B14" s="2" t="s">
        <v>127</v>
      </c>
      <c r="C14" s="2" t="n">
        <v>2017</v>
      </c>
      <c r="D14" s="2" t="n">
        <v>0</v>
      </c>
      <c r="E14" s="2" t="s">
        <v>128</v>
      </c>
    </row>
    <row r="15" customFormat="false" ht="15" hidden="false" customHeight="false" outlineLevel="0" collapsed="false">
      <c r="A15" s="2" t="s">
        <v>35</v>
      </c>
      <c r="B15" s="2" t="s">
        <v>127</v>
      </c>
      <c r="C15" s="2" t="n">
        <v>2017</v>
      </c>
      <c r="D15" s="2" t="n">
        <v>0</v>
      </c>
      <c r="E15" s="2" t="s">
        <v>128</v>
      </c>
    </row>
    <row r="16" customFormat="false" ht="15" hidden="false" customHeight="false" outlineLevel="0" collapsed="false">
      <c r="A16" s="2" t="s">
        <v>40</v>
      </c>
      <c r="B16" s="2" t="s">
        <v>127</v>
      </c>
      <c r="C16" s="2" t="n">
        <v>2017</v>
      </c>
      <c r="D16" s="2" t="n">
        <v>0</v>
      </c>
      <c r="E16" s="2" t="s">
        <v>128</v>
      </c>
    </row>
    <row r="17" customFormat="false" ht="15" hidden="false" customHeight="false" outlineLevel="0" collapsed="false">
      <c r="A17" s="2" t="s">
        <v>41</v>
      </c>
      <c r="B17" s="2" t="s">
        <v>127</v>
      </c>
      <c r="C17" s="2" t="n">
        <v>2017</v>
      </c>
      <c r="D17" s="2" t="n">
        <v>0</v>
      </c>
      <c r="E17" s="2" t="s">
        <v>128</v>
      </c>
    </row>
    <row r="18" customFormat="false" ht="15" hidden="false" customHeight="false" outlineLevel="0" collapsed="false">
      <c r="A18" s="2" t="s">
        <v>42</v>
      </c>
      <c r="B18" s="2" t="s">
        <v>127</v>
      </c>
      <c r="C18" s="2" t="n">
        <v>2017</v>
      </c>
      <c r="D18" s="2" t="n">
        <v>0</v>
      </c>
      <c r="E18" s="2" t="s">
        <v>128</v>
      </c>
    </row>
    <row r="19" customFormat="false" ht="15" hidden="false" customHeight="false" outlineLevel="0" collapsed="false">
      <c r="A19" s="2" t="s">
        <v>45</v>
      </c>
      <c r="B19" s="2" t="s">
        <v>127</v>
      </c>
      <c r="C19" s="2" t="n">
        <v>2017</v>
      </c>
      <c r="D19" s="2" t="n">
        <v>0</v>
      </c>
      <c r="E19" s="2" t="s">
        <v>128</v>
      </c>
    </row>
    <row r="20" customFormat="false" ht="15" hidden="false" customHeight="false" outlineLevel="0" collapsed="false">
      <c r="A20" s="2" t="s">
        <v>46</v>
      </c>
      <c r="B20" s="2" t="s">
        <v>127</v>
      </c>
      <c r="C20" s="2" t="n">
        <v>2017</v>
      </c>
      <c r="D20" s="2" t="n">
        <v>0</v>
      </c>
      <c r="E20" s="2" t="s">
        <v>128</v>
      </c>
    </row>
    <row r="21" customFormat="false" ht="15" hidden="false" customHeight="false" outlineLevel="0" collapsed="false">
      <c r="A21" s="2" t="s">
        <v>48</v>
      </c>
      <c r="B21" s="2" t="s">
        <v>125</v>
      </c>
      <c r="C21" s="2" t="n">
        <v>2008</v>
      </c>
      <c r="D21" s="2" t="n">
        <v>10</v>
      </c>
      <c r="E21" s="2" t="s">
        <v>133</v>
      </c>
    </row>
    <row r="22" customFormat="false" ht="15" hidden="false" customHeight="false" outlineLevel="0" collapsed="false">
      <c r="A22" s="2" t="s">
        <v>52</v>
      </c>
      <c r="B22" s="2" t="s">
        <v>127</v>
      </c>
      <c r="C22" s="2" t="n">
        <v>2017</v>
      </c>
      <c r="D22" s="2" t="n">
        <v>0</v>
      </c>
      <c r="E22" s="2" t="s">
        <v>128</v>
      </c>
    </row>
    <row r="23" customFormat="false" ht="15" hidden="false" customHeight="false" outlineLevel="0" collapsed="false">
      <c r="A23" s="2" t="s">
        <v>57</v>
      </c>
      <c r="B23" s="2" t="s">
        <v>127</v>
      </c>
      <c r="C23" s="2" t="n">
        <v>2017</v>
      </c>
      <c r="D23" s="2" t="n">
        <v>0</v>
      </c>
      <c r="E23" s="2" t="s">
        <v>128</v>
      </c>
    </row>
    <row r="24" customFormat="false" ht="15" hidden="false" customHeight="false" outlineLevel="0" collapsed="false">
      <c r="A24" s="2" t="s">
        <v>59</v>
      </c>
      <c r="B24" s="2" t="s">
        <v>127</v>
      </c>
      <c r="C24" s="2" t="n">
        <v>2017</v>
      </c>
      <c r="D24" s="2" t="n">
        <v>0</v>
      </c>
      <c r="E24" s="2" t="s">
        <v>128</v>
      </c>
    </row>
    <row r="25" customFormat="false" ht="15" hidden="false" customHeight="false" outlineLevel="0" collapsed="false">
      <c r="A25" s="2" t="s">
        <v>66</v>
      </c>
      <c r="B25" s="2" t="s">
        <v>127</v>
      </c>
      <c r="C25" s="2" t="n">
        <v>2017</v>
      </c>
      <c r="D25" s="2" t="n">
        <v>0</v>
      </c>
      <c r="E25" s="2" t="s">
        <v>128</v>
      </c>
    </row>
    <row r="26" customFormat="false" ht="15" hidden="false" customHeight="false" outlineLevel="0" collapsed="false">
      <c r="A26" s="2" t="s">
        <v>68</v>
      </c>
      <c r="B26" s="2" t="s">
        <v>127</v>
      </c>
      <c r="C26" s="2" t="n">
        <v>2017</v>
      </c>
      <c r="D26" s="2" t="n">
        <v>0</v>
      </c>
      <c r="E26" s="2" t="s">
        <v>128</v>
      </c>
    </row>
    <row r="27" customFormat="false" ht="15" hidden="false" customHeight="false" outlineLevel="0" collapsed="false">
      <c r="A27" s="2" t="s">
        <v>69</v>
      </c>
      <c r="B27" s="2" t="s">
        <v>127</v>
      </c>
      <c r="C27" s="2" t="n">
        <v>2017</v>
      </c>
      <c r="D27" s="2" t="n">
        <v>0</v>
      </c>
      <c r="E27" s="2" t="s">
        <v>128</v>
      </c>
    </row>
    <row r="28" customFormat="false" ht="15" hidden="false" customHeight="false" outlineLevel="0" collapsed="false">
      <c r="A28" s="2" t="s">
        <v>72</v>
      </c>
      <c r="B28" s="2" t="s">
        <v>127</v>
      </c>
      <c r="C28" s="2" t="n">
        <v>2017</v>
      </c>
      <c r="D28" s="2" t="n">
        <v>0</v>
      </c>
      <c r="E28" s="2" t="s">
        <v>128</v>
      </c>
    </row>
    <row r="29" customFormat="false" ht="15" hidden="false" customHeight="false" outlineLevel="0" collapsed="false">
      <c r="A29" s="2" t="s">
        <v>73</v>
      </c>
      <c r="B29" s="2" t="s">
        <v>125</v>
      </c>
      <c r="C29" s="2" t="n">
        <v>2008</v>
      </c>
      <c r="D29" s="2" t="n">
        <v>10</v>
      </c>
      <c r="E29" s="2" t="s">
        <v>133</v>
      </c>
    </row>
    <row r="30" customFormat="false" ht="15" hidden="false" customHeight="false" outlineLevel="0" collapsed="false">
      <c r="A30" s="2" t="s">
        <v>77</v>
      </c>
      <c r="B30" s="2" t="s">
        <v>127</v>
      </c>
      <c r="C30" s="2" t="n">
        <v>2017</v>
      </c>
      <c r="D30" s="2" t="n">
        <v>0</v>
      </c>
      <c r="E30" s="2" t="s">
        <v>128</v>
      </c>
    </row>
    <row r="31" customFormat="false" ht="15" hidden="false" customHeight="false" outlineLevel="0" collapsed="false">
      <c r="A31" s="2" t="s">
        <v>80</v>
      </c>
      <c r="B31" s="2" t="s">
        <v>125</v>
      </c>
      <c r="C31" s="2" t="n">
        <v>2008</v>
      </c>
      <c r="D31" s="2" t="n">
        <v>10</v>
      </c>
      <c r="E31" s="2" t="s">
        <v>133</v>
      </c>
    </row>
    <row r="32" customFormat="false" ht="15" hidden="false" customHeight="false" outlineLevel="0" collapsed="false">
      <c r="A32" s="2" t="s">
        <v>83</v>
      </c>
      <c r="B32" s="2" t="s">
        <v>127</v>
      </c>
      <c r="C32" s="2" t="n">
        <v>2020</v>
      </c>
      <c r="D32" s="2" t="n">
        <v>0</v>
      </c>
      <c r="E32" s="2" t="s">
        <v>134</v>
      </c>
    </row>
    <row r="33" customFormat="false" ht="15" hidden="false" customHeight="false" outlineLevel="0" collapsed="false">
      <c r="A33" s="2" t="s">
        <v>86</v>
      </c>
      <c r="B33" s="2" t="s">
        <v>125</v>
      </c>
      <c r="C33" s="2" t="n">
        <v>2008</v>
      </c>
      <c r="D33" s="2" t="n">
        <v>10</v>
      </c>
      <c r="E33" s="2" t="s">
        <v>133</v>
      </c>
    </row>
    <row r="34" customFormat="false" ht="15" hidden="false" customHeight="false" outlineLevel="0" collapsed="false">
      <c r="A34" s="2" t="s">
        <v>87</v>
      </c>
      <c r="B34" s="2" t="s">
        <v>125</v>
      </c>
      <c r="C34" s="2" t="n">
        <v>2008</v>
      </c>
      <c r="D34" s="2" t="n">
        <v>5</v>
      </c>
      <c r="E34" s="2" t="s">
        <v>126</v>
      </c>
    </row>
    <row r="35" customFormat="false" ht="15" hidden="false" customHeight="false" outlineLevel="0" collapsed="false">
      <c r="A35" s="2" t="s">
        <v>88</v>
      </c>
      <c r="B35" s="2" t="s">
        <v>125</v>
      </c>
      <c r="C35" s="2" t="n">
        <v>2008</v>
      </c>
      <c r="D35" s="2" t="n">
        <v>0</v>
      </c>
      <c r="E35" s="2" t="s">
        <v>129</v>
      </c>
    </row>
    <row r="36" customFormat="false" ht="15" hidden="false" customHeight="false" outlineLevel="0" collapsed="false">
      <c r="A36" s="2" t="s">
        <v>90</v>
      </c>
      <c r="B36" s="2" t="s">
        <v>127</v>
      </c>
      <c r="C36" s="2" t="n">
        <v>2017</v>
      </c>
      <c r="D36" s="2" t="n">
        <v>0</v>
      </c>
      <c r="E36" s="2" t="s">
        <v>128</v>
      </c>
    </row>
    <row r="37" customFormat="false" ht="15" hidden="false" customHeight="false" outlineLevel="0" collapsed="false">
      <c r="A37" s="2" t="s">
        <v>91</v>
      </c>
      <c r="B37" s="2" t="s">
        <v>127</v>
      </c>
      <c r="C37" s="2" t="n">
        <v>2017</v>
      </c>
      <c r="D37" s="2" t="n">
        <v>0</v>
      </c>
      <c r="E37" s="2" t="s">
        <v>128</v>
      </c>
    </row>
    <row r="38" customFormat="false" ht="15" hidden="false" customHeight="false" outlineLevel="0" collapsed="false">
      <c r="A38" s="2" t="s">
        <v>95</v>
      </c>
      <c r="B38" s="2" t="s">
        <v>127</v>
      </c>
      <c r="C38" s="2" t="n">
        <v>2017</v>
      </c>
      <c r="D38" s="2" t="n">
        <v>0</v>
      </c>
      <c r="E38" s="2" t="s">
        <v>128</v>
      </c>
    </row>
    <row r="39" customFormat="false" ht="15" hidden="false" customHeight="false" outlineLevel="0" collapsed="false">
      <c r="A39" s="2" t="s">
        <v>103</v>
      </c>
      <c r="B39" s="2" t="s">
        <v>127</v>
      </c>
      <c r="C39" s="2" t="n">
        <v>2017</v>
      </c>
      <c r="D39" s="2" t="n">
        <v>0</v>
      </c>
      <c r="E39" s="2" t="s">
        <v>128</v>
      </c>
    </row>
    <row r="40" customFormat="false" ht="15" hidden="false" customHeight="false" outlineLevel="0" collapsed="false">
      <c r="A40" s="2" t="s">
        <v>104</v>
      </c>
      <c r="B40" s="2" t="s">
        <v>127</v>
      </c>
      <c r="C40" s="2" t="n">
        <v>2017</v>
      </c>
      <c r="D40" s="2" t="n">
        <v>0</v>
      </c>
      <c r="E40" s="2" t="s">
        <v>128</v>
      </c>
    </row>
    <row r="41" customFormat="false" ht="15" hidden="false" customHeight="false" outlineLevel="0" collapsed="false">
      <c r="A41" s="2" t="s">
        <v>105</v>
      </c>
      <c r="B41" s="2" t="s">
        <v>127</v>
      </c>
      <c r="C41" s="2" t="n">
        <v>2017</v>
      </c>
      <c r="D41" s="2" t="n">
        <v>0</v>
      </c>
      <c r="E41" s="2" t="s">
        <v>128</v>
      </c>
    </row>
    <row r="42" customFormat="false" ht="15" hidden="false" customHeight="false" outlineLevel="0" collapsed="false">
      <c r="A42" s="2" t="s">
        <v>107</v>
      </c>
      <c r="B42" s="2" t="s">
        <v>127</v>
      </c>
      <c r="C42" s="2" t="n">
        <v>2017</v>
      </c>
      <c r="D42" s="2" t="n">
        <v>0</v>
      </c>
      <c r="E42" s="2" t="s">
        <v>128</v>
      </c>
    </row>
    <row r="43" customFormat="false" ht="15" hidden="false" customHeight="false" outlineLevel="0" collapsed="false">
      <c r="A43" s="2" t="s">
        <v>108</v>
      </c>
      <c r="B43" s="2" t="s">
        <v>127</v>
      </c>
      <c r="C43" s="2" t="n">
        <v>2020</v>
      </c>
      <c r="D43" s="2" t="n">
        <v>0</v>
      </c>
      <c r="E43" s="2" t="s">
        <v>134</v>
      </c>
    </row>
    <row r="44" customFormat="false" ht="15" hidden="false" customHeight="false" outlineLevel="0" collapsed="false">
      <c r="A44" s="2" t="s">
        <v>117</v>
      </c>
      <c r="B44" s="2" t="s">
        <v>127</v>
      </c>
      <c r="C44" s="2" t="n">
        <v>2021</v>
      </c>
      <c r="D44" s="2" t="n">
        <v>0</v>
      </c>
      <c r="E44" s="2" t="s">
        <v>135</v>
      </c>
    </row>
    <row r="45" customFormat="false" ht="15" hidden="false" customHeight="false" outlineLevel="0" collapsed="false">
      <c r="A45" s="2" t="s">
        <v>118</v>
      </c>
      <c r="B45" s="2" t="s">
        <v>125</v>
      </c>
      <c r="C45" s="2" t="n">
        <v>2008</v>
      </c>
      <c r="D45" s="2" t="n">
        <v>5</v>
      </c>
      <c r="E45" s="2" t="s">
        <v>126</v>
      </c>
    </row>
    <row r="48" customFormat="false" ht="15" hidden="false" customHeight="true" outlineLevel="0" collapsed="false">
      <c r="A48" s="3" t="s">
        <v>136</v>
      </c>
      <c r="B48" s="3"/>
      <c r="C48" s="3"/>
      <c r="D48" s="3"/>
      <c r="E48" s="3"/>
    </row>
    <row r="49" customFormat="false" ht="15" hidden="false" customHeight="false" outlineLevel="0" collapsed="false">
      <c r="A49" s="3"/>
      <c r="B49" s="3"/>
      <c r="C49" s="3"/>
      <c r="D49" s="3"/>
      <c r="E49" s="3"/>
    </row>
    <row r="50" customFormat="false" ht="15" hidden="false" customHeight="false" outlineLevel="0" collapsed="false">
      <c r="A50" s="3"/>
      <c r="B50" s="3"/>
      <c r="C50" s="3"/>
      <c r="D50" s="3"/>
      <c r="E50" s="3"/>
    </row>
    <row r="51" customFormat="false" ht="15" hidden="false" customHeight="false" outlineLevel="0" collapsed="false">
      <c r="A51" s="3"/>
      <c r="B51" s="3"/>
      <c r="C51" s="3"/>
      <c r="D51" s="3"/>
      <c r="E51" s="3"/>
    </row>
  </sheetData>
  <mergeCells count="1">
    <mergeCell ref="A48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58"/>
  </cols>
  <sheetData>
    <row r="1" customFormat="false" ht="23.85" hidden="false" customHeight="false" outlineLevel="0" collapsed="false">
      <c r="A1" s="1" t="s">
        <v>137</v>
      </c>
      <c r="B1" s="1" t="s">
        <v>0</v>
      </c>
      <c r="C1" s="1" t="s">
        <v>1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customFormat="false" ht="15" hidden="false" customHeight="false" outlineLevel="0" collapsed="false">
      <c r="A2" s="2" t="n">
        <v>2008</v>
      </c>
      <c r="B2" s="2" t="s">
        <v>114</v>
      </c>
      <c r="C2" s="4" t="str">
        <f aca="false">IFERROR(VLOOKUP($B2,Ref_Continente!$A:$B,2,FALSE()),"Sin clasificar")</f>
        <v>North America</v>
      </c>
      <c r="D2" s="5" t="n">
        <v>209615</v>
      </c>
      <c r="E2" s="6" t="n">
        <v>33543</v>
      </c>
      <c r="F2" s="6" t="n">
        <v>4550</v>
      </c>
      <c r="G2" s="5" t="n">
        <v>14769857911000</v>
      </c>
      <c r="H2" s="4" t="n">
        <f aca="false">IFERROR(IF(AND(VLOOKUP($B2,Ref_Acuerdos!$A:$E,2,FALSE())="FTA",$A2&gt;=VLOOKUP($B2,Ref_Acuerdos!$A:$E,3,FALSE())),1,0),0)</f>
        <v>0</v>
      </c>
      <c r="I2" s="4" t="n">
        <f aca="false">IFERROR(IF(AND(VLOOKUP($B2,Ref_Acuerdos!$A:$E,2,FALSE())="PTA",$A2&gt;=VLOOKUP($B2,Ref_Acuerdos!$A:$E,3,FALSE())),1,0),0)</f>
        <v>0</v>
      </c>
      <c r="J2" s="7" t="str">
        <f aca="false">IFERROR(IF($A2&gt;=VLOOKUP($B2,Ref_Acuerdos!$A:$E,3,FALSE()),VLOOKUP($B2,Ref_Acuerdos!$A:$E,4,FALSE()),""),"")</f>
        <v/>
      </c>
      <c r="K2" s="4" t="str">
        <f aca="false">IFERROR(IF($A2&gt;=VLOOKUP($B2,Ref_Acuerdos!$A:$E,3,FALSE()),VLOOKUP($B2,Ref_Acuerdos!$A:$E,5,FALSE()),"Sin FTA/PTA vigente ese año - arancel NMF"),"Sin FTA/PTA identificado - arancel NMF")</f>
        <v>Sin FTA/PTA identificado - arancel NMF</v>
      </c>
    </row>
    <row r="3" customFormat="false" ht="15" hidden="false" customHeight="false" outlineLevel="0" collapsed="false">
      <c r="A3" s="2" t="n">
        <v>2008</v>
      </c>
      <c r="B3" s="2" t="s">
        <v>77</v>
      </c>
      <c r="C3" s="4" t="str">
        <f aca="false">IFERROR(VLOOKUP($B3,Ref_Continente!$A:$B,2,FALSE()),"Sin clasificar")</f>
        <v>Europe</v>
      </c>
      <c r="D3" s="5" t="n">
        <v>177619</v>
      </c>
      <c r="E3" s="6" t="n">
        <v>3628</v>
      </c>
      <c r="F3" s="6" t="n">
        <v>9300</v>
      </c>
      <c r="G3" s="5" t="n">
        <v>957901566041.41</v>
      </c>
      <c r="H3" s="4" t="n">
        <f aca="false">IFERROR(IF(AND(VLOOKUP($B3,Ref_Acuerdos!$A:$E,2,FALSE())="FTA",$A3&gt;=VLOOKUP($B3,Ref_Acuerdos!$A:$E,3,FALSE())),1,0),0)</f>
        <v>0</v>
      </c>
      <c r="I3" s="4" t="n">
        <f aca="false">IFERROR(IF(AND(VLOOKUP($B3,Ref_Acuerdos!$A:$E,2,FALSE())="PTA",$A3&gt;=VLOOKUP($B3,Ref_Acuerdos!$A:$E,3,FALSE())),1,0),0)</f>
        <v>0</v>
      </c>
      <c r="J3" s="7" t="str">
        <f aca="false">IFERROR(IF($A3&gt;=VLOOKUP($B3,Ref_Acuerdos!$A:$E,3,FALSE()),VLOOKUP($B3,Ref_Acuerdos!$A:$E,4,FALSE()),""),"")</f>
        <v/>
      </c>
      <c r="K3" s="4" t="str">
        <f aca="false">IFERROR(IF($A3&gt;=VLOOKUP($B3,Ref_Acuerdos!$A:$E,3,FALSE()),VLOOKUP($B3,Ref_Acuerdos!$A:$E,5,FALSE()),"Sin FTA/PTA vigente ese año - arancel NMF"),"Sin FTA/PTA identificado - arancel NMF")</f>
        <v>Sin FTA/PTA vigente ese año - arancel NMF</v>
      </c>
    </row>
    <row r="4" customFormat="false" ht="15" hidden="false" customHeight="false" outlineLevel="0" collapsed="false">
      <c r="A4" s="2" t="n">
        <v>2008</v>
      </c>
      <c r="B4" s="2" t="s">
        <v>96</v>
      </c>
      <c r="C4" s="4" t="str">
        <f aca="false">IFERROR(VLOOKUP($B4,Ref_Continente!$A:$B,2,FALSE()),"Sin clasificar")</f>
        <v>Europe</v>
      </c>
      <c r="D4" s="5" t="n">
        <v>104941</v>
      </c>
      <c r="E4" s="6" t="n">
        <v>12157</v>
      </c>
      <c r="F4" s="6" t="n">
        <v>12000</v>
      </c>
      <c r="G4" s="5" t="n">
        <v>1660848058303.11</v>
      </c>
      <c r="H4" s="4" t="n">
        <f aca="false">IFERROR(IF(AND(VLOOKUP($B4,Ref_Acuerdos!$A:$E,2,FALSE())="FTA",$A4&gt;=VLOOKUP($B4,Ref_Acuerdos!$A:$E,3,FALSE())),1,0),0)</f>
        <v>0</v>
      </c>
      <c r="I4" s="4" t="n">
        <f aca="false">IFERROR(IF(AND(VLOOKUP($B4,Ref_Acuerdos!$A:$E,2,FALSE())="PTA",$A4&gt;=VLOOKUP($B4,Ref_Acuerdos!$A:$E,3,FALSE())),1,0),0)</f>
        <v>0</v>
      </c>
      <c r="J4" s="7" t="str">
        <f aca="false">IFERROR(IF($A4&gt;=VLOOKUP($B4,Ref_Acuerdos!$A:$E,3,FALSE()),VLOOKUP($B4,Ref_Acuerdos!$A:$E,4,FALSE()),""),"")</f>
        <v/>
      </c>
      <c r="K4" s="4" t="str">
        <f aca="false">IFERROR(IF($A4&gt;=VLOOKUP($B4,Ref_Acuerdos!$A:$E,3,FALSE()),VLOOKUP($B4,Ref_Acuerdos!$A:$E,5,FALSE()),"Sin FTA/PTA vigente ese año - arancel NMF"),"Sin FTA/PTA identificado - arancel NMF")</f>
        <v>Sin FTA/PTA identificado - arancel NMF</v>
      </c>
    </row>
    <row r="5" customFormat="false" ht="15" hidden="false" customHeight="false" outlineLevel="0" collapsed="false">
      <c r="A5" s="2" t="n">
        <v>2008</v>
      </c>
      <c r="B5" s="2" t="s">
        <v>86</v>
      </c>
      <c r="C5" s="4" t="str">
        <f aca="false">IFERROR(VLOOKUP($B5,Ref_Continente!$A:$B,2,FALSE()),"Sin clasificar")</f>
        <v>North America</v>
      </c>
      <c r="D5" s="5" t="n">
        <v>19799</v>
      </c>
      <c r="E5" s="6" t="n">
        <v>3539</v>
      </c>
      <c r="F5" s="6" t="n">
        <v>1020</v>
      </c>
      <c r="G5" s="5" t="n">
        <v>25721327955.28</v>
      </c>
      <c r="H5" s="4" t="n">
        <f aca="false">IFERROR(IF(AND(VLOOKUP($B5,Ref_Acuerdos!$A:$E,2,FALSE())="FTA",$A5&gt;=VLOOKUP($B5,Ref_Acuerdos!$A:$E,3,FALSE())),1,0),0)</f>
        <v>0</v>
      </c>
      <c r="I5" s="4" t="n">
        <f aca="false">IFERROR(IF(AND(VLOOKUP($B5,Ref_Acuerdos!$A:$E,2,FALSE())="PTA",$A5&gt;=VLOOKUP($B5,Ref_Acuerdos!$A:$E,3,FALSE())),1,0),0)</f>
        <v>1</v>
      </c>
      <c r="J5" s="7" t="n">
        <f aca="false">IFERROR(IF($A5&gt;=VLOOKUP($B5,Ref_Acuerdos!$A:$E,3,FALSE()),VLOOKUP($B5,Ref_Acuerdos!$A:$E,4,FALSE()),""),"")</f>
        <v>10</v>
      </c>
      <c r="K5" s="4" t="str">
        <f aca="false">IFERROR(IF($A5&gt;=VLOOKUP($B5,Ref_Acuerdos!$A:$E,3,FALSE()),VLOOKUP($B5,Ref_Acuerdos!$A:$E,5,FALSE()),"Sin FTA/PTA vigente ese año - arancel NMF"),"Sin FTA/PTA identificado - arancel NMF")</f>
        <v>ALADI - Acuerdo de Alcance Parcial (preferencia limitada, tarifa referencial)</v>
      </c>
    </row>
    <row r="6" customFormat="false" ht="15" hidden="false" customHeight="false" outlineLevel="0" collapsed="false">
      <c r="A6" s="2" t="n">
        <v>2008</v>
      </c>
      <c r="B6" s="2" t="s">
        <v>29</v>
      </c>
      <c r="C6" s="4" t="str">
        <f aca="false">IFERROR(VLOOKUP($B6,Ref_Continente!$A:$B,2,FALSE()),"Sin clasificar")</f>
        <v>South America</v>
      </c>
      <c r="D6" s="5" t="n">
        <v>13200</v>
      </c>
      <c r="E6" s="6" t="n">
        <v>15</v>
      </c>
      <c r="F6" s="6" t="n">
        <v>720</v>
      </c>
      <c r="G6" s="5" t="n">
        <v>242504150472.93</v>
      </c>
      <c r="H6" s="4" t="n">
        <f aca="false">IFERROR(IF(AND(VLOOKUP($B6,Ref_Acuerdos!$A:$E,2,FALSE())="FTA",$A6&gt;=VLOOKUP($B6,Ref_Acuerdos!$A:$E,3,FALSE())),1,0),0)</f>
        <v>0</v>
      </c>
      <c r="I6" s="4" t="n">
        <f aca="false">IFERROR(IF(AND(VLOOKUP($B6,Ref_Acuerdos!$A:$E,2,FALSE())="PTA",$A6&gt;=VLOOKUP($B6,Ref_Acuerdos!$A:$E,3,FALSE())),1,0),0)</f>
        <v>1</v>
      </c>
      <c r="J6" s="7" t="n">
        <f aca="false">IFERROR(IF($A6&gt;=VLOOKUP($B6,Ref_Acuerdos!$A:$E,3,FALSE()),VLOOKUP($B6,Ref_Acuerdos!$A:$E,4,FALSE()),""),"")</f>
        <v>0</v>
      </c>
      <c r="K6" s="4" t="str">
        <f aca="false">IFERROR(IF($A6&gt;=VLOOKUP($B6,Ref_Acuerdos!$A:$E,3,FALSE()),VLOOKUP($B6,Ref_Acuerdos!$A:$E,5,FALSE()),"Sin FTA/PTA vigente ese año - arancel NMF"),"Sin FTA/PTA identificado - arancel NMF")</f>
        <v>Comunidad Andina (CAN) - libre comercio intracomunitario</v>
      </c>
    </row>
    <row r="7" customFormat="false" ht="15" hidden="false" customHeight="false" outlineLevel="0" collapsed="false">
      <c r="A7" s="2" t="n">
        <v>2008</v>
      </c>
      <c r="B7" s="2" t="s">
        <v>78</v>
      </c>
      <c r="C7" s="4" t="str">
        <f aca="false">IFERROR(VLOOKUP($B7,Ref_Continente!$A:$B,2,FALSE()),"Sin clasificar")</f>
        <v>North America</v>
      </c>
      <c r="D7" s="5" t="n">
        <v>11547</v>
      </c>
      <c r="E7" s="6" t="n">
        <v>273</v>
      </c>
      <c r="F7" s="6" t="n">
        <v>2250</v>
      </c>
      <c r="G7" s="5"/>
      <c r="H7" s="4" t="n">
        <f aca="false">IFERROR(IF(AND(VLOOKUP($B7,Ref_Acuerdos!$A:$E,2,FALSE())="FTA",$A7&gt;=VLOOKUP($B7,Ref_Acuerdos!$A:$E,3,FALSE())),1,0),0)</f>
        <v>0</v>
      </c>
      <c r="I7" s="4" t="n">
        <f aca="false">IFERROR(IF(AND(VLOOKUP($B7,Ref_Acuerdos!$A:$E,2,FALSE())="PTA",$A7&gt;=VLOOKUP($B7,Ref_Acuerdos!$A:$E,3,FALSE())),1,0),0)</f>
        <v>0</v>
      </c>
      <c r="J7" s="7" t="str">
        <f aca="false">IFERROR(IF($A7&gt;=VLOOKUP($B7,Ref_Acuerdos!$A:$E,3,FALSE()),VLOOKUP($B7,Ref_Acuerdos!$A:$E,4,FALSE()),""),"")</f>
        <v/>
      </c>
      <c r="K7" s="4" t="str">
        <f aca="false">IFERROR(IF($A7&gt;=VLOOKUP($B7,Ref_Acuerdos!$A:$E,3,FALSE()),VLOOKUP($B7,Ref_Acuerdos!$A:$E,5,FALSE()),"Sin FTA/PTA vigente ese año - arancel NMF"),"Sin FTA/PTA identificado - arancel NMF")</f>
        <v>Sin FTA/PTA identificado - arancel NMF</v>
      </c>
    </row>
    <row r="8" customFormat="false" ht="15" hidden="false" customHeight="false" outlineLevel="0" collapsed="false">
      <c r="A8" s="2" t="n">
        <v>2008</v>
      </c>
      <c r="B8" s="2" t="s">
        <v>37</v>
      </c>
      <c r="C8" s="4" t="str">
        <f aca="false">IFERROR(VLOOKUP($B8,Ref_Continente!$A:$B,2,FALSE()),"Sin clasificar")</f>
        <v>North America</v>
      </c>
      <c r="D8" s="5" t="n">
        <v>6105</v>
      </c>
      <c r="E8" s="6" t="n">
        <v>1072</v>
      </c>
      <c r="F8" s="6" t="n">
        <v>2200</v>
      </c>
      <c r="G8" s="5" t="n">
        <v>48091433554.19</v>
      </c>
      <c r="H8" s="4" t="n">
        <f aca="false">IFERROR(IF(AND(VLOOKUP($B8,Ref_Acuerdos!$A:$E,2,FALSE())="FTA",$A8&gt;=VLOOKUP($B8,Ref_Acuerdos!$A:$E,3,FALSE())),1,0),0)</f>
        <v>0</v>
      </c>
      <c r="I8" s="4" t="n">
        <f aca="false">IFERROR(IF(AND(VLOOKUP($B8,Ref_Acuerdos!$A:$E,2,FALSE())="PTA",$A8&gt;=VLOOKUP($B8,Ref_Acuerdos!$A:$E,3,FALSE())),1,0),0)</f>
        <v>0</v>
      </c>
      <c r="J8" s="7" t="str">
        <f aca="false">IFERROR(IF($A8&gt;=VLOOKUP($B8,Ref_Acuerdos!$A:$E,3,FALSE()),VLOOKUP($B8,Ref_Acuerdos!$A:$E,4,FALSE()),""),"")</f>
        <v/>
      </c>
      <c r="K8" s="4" t="str">
        <f aca="false">IFERROR(IF($A8&gt;=VLOOKUP($B8,Ref_Acuerdos!$A:$E,3,FALSE()),VLOOKUP($B8,Ref_Acuerdos!$A:$E,5,FALSE()),"Sin FTA/PTA vigente ese año - arancel NMF"),"Sin FTA/PTA identificado - arancel NMF")</f>
        <v>Sin FTA/PTA identificado - arancel NMF</v>
      </c>
    </row>
    <row r="9" customFormat="false" ht="15" hidden="false" customHeight="false" outlineLevel="0" collapsed="false">
      <c r="A9" s="2" t="n">
        <v>2008</v>
      </c>
      <c r="B9" s="2" t="s">
        <v>25</v>
      </c>
      <c r="C9" s="4" t="str">
        <f aca="false">IFERROR(VLOOKUP($B9,Ref_Continente!$A:$B,2,FALSE()),"Sin clasificar")</f>
        <v>North America</v>
      </c>
      <c r="D9" s="5" t="n">
        <v>3648</v>
      </c>
      <c r="E9" s="6" t="n">
        <v>715</v>
      </c>
      <c r="F9" s="6" t="n">
        <v>5900</v>
      </c>
      <c r="G9" s="5" t="n">
        <v>1552989690721.65</v>
      </c>
      <c r="H9" s="4" t="n">
        <f aca="false">IFERROR(IF(AND(VLOOKUP($B9,Ref_Acuerdos!$A:$E,2,FALSE())="FTA",$A9&gt;=VLOOKUP($B9,Ref_Acuerdos!$A:$E,3,FALSE())),1,0),0)</f>
        <v>0</v>
      </c>
      <c r="I9" s="4" t="n">
        <f aca="false">IFERROR(IF(AND(VLOOKUP($B9,Ref_Acuerdos!$A:$E,2,FALSE())="PTA",$A9&gt;=VLOOKUP($B9,Ref_Acuerdos!$A:$E,3,FALSE())),1,0),0)</f>
        <v>0</v>
      </c>
      <c r="J9" s="7" t="str">
        <f aca="false">IFERROR(IF($A9&gt;=VLOOKUP($B9,Ref_Acuerdos!$A:$E,3,FALSE()),VLOOKUP($B9,Ref_Acuerdos!$A:$E,4,FALSE()),""),"")</f>
        <v/>
      </c>
      <c r="K9" s="4" t="str">
        <f aca="false">IFERROR(IF($A9&gt;=VLOOKUP($B9,Ref_Acuerdos!$A:$E,3,FALSE()),VLOOKUP($B9,Ref_Acuerdos!$A:$E,5,FALSE()),"Sin FTA/PTA vigente ese año - arancel NMF"),"Sin FTA/PTA identificado - arancel NMF")</f>
        <v>Sin FTA/PTA identificado - arancel NMF</v>
      </c>
    </row>
    <row r="10" customFormat="false" ht="15" hidden="false" customHeight="false" outlineLevel="0" collapsed="false">
      <c r="A10" s="2" t="n">
        <v>2008</v>
      </c>
      <c r="B10" s="2" t="s">
        <v>105</v>
      </c>
      <c r="C10" s="4" t="str">
        <f aca="false">IFERROR(VLOOKUP($B10,Ref_Continente!$A:$B,2,FALSE()),"Sin clasificar")</f>
        <v>Europe</v>
      </c>
      <c r="D10" s="5" t="n">
        <v>2509</v>
      </c>
      <c r="E10" s="6" t="n">
        <v>442</v>
      </c>
      <c r="F10" s="6" t="n">
        <v>8700</v>
      </c>
      <c r="G10" s="5" t="n">
        <v>1636115447612.5</v>
      </c>
      <c r="H10" s="4" t="n">
        <f aca="false">IFERROR(IF(AND(VLOOKUP($B10,Ref_Acuerdos!$A:$E,2,FALSE())="FTA",$A10&gt;=VLOOKUP($B10,Ref_Acuerdos!$A:$E,3,FALSE())),1,0),0)</f>
        <v>0</v>
      </c>
      <c r="I10" s="4" t="n">
        <f aca="false">IFERROR(IF(AND(VLOOKUP($B10,Ref_Acuerdos!$A:$E,2,FALSE())="PTA",$A10&gt;=VLOOKUP($B10,Ref_Acuerdos!$A:$E,3,FALSE())),1,0),0)</f>
        <v>0</v>
      </c>
      <c r="J10" s="7" t="str">
        <f aca="false">IFERROR(IF($A10&gt;=VLOOKUP($B10,Ref_Acuerdos!$A:$E,3,FALSE()),VLOOKUP($B10,Ref_Acuerdos!$A:$E,4,FALSE()),""),"")</f>
        <v/>
      </c>
      <c r="K10" s="4" t="str">
        <f aca="false">IFERROR(IF($A10&gt;=VLOOKUP($B10,Ref_Acuerdos!$A:$E,3,FALSE()),VLOOKUP($B10,Ref_Acuerdos!$A:$E,5,FALSE()),"Sin FTA/PTA vigente ese año - arancel NMF"),"Sin FTA/PTA identificado - arancel NMF")</f>
        <v>Sin FTA/PTA vigente ese año - arancel NMF</v>
      </c>
    </row>
    <row r="11" customFormat="false" ht="15" hidden="false" customHeight="false" outlineLevel="0" collapsed="false">
      <c r="A11" s="2" t="n">
        <v>2008</v>
      </c>
      <c r="B11" s="2" t="s">
        <v>43</v>
      </c>
      <c r="C11" s="4" t="str">
        <f aca="false">IFERROR(VLOOKUP($B11,Ref_Continente!$A:$B,2,FALSE()),"Sin clasificar")</f>
        <v>Sin clasificar</v>
      </c>
      <c r="D11" s="5" t="n">
        <v>2029</v>
      </c>
      <c r="E11" s="6" t="n">
        <v>539</v>
      </c>
      <c r="F11" s="6" t="n">
        <v>0</v>
      </c>
      <c r="G11" s="5"/>
      <c r="H11" s="4" t="n">
        <f aca="false">IFERROR(IF(AND(VLOOKUP($B11,Ref_Acuerdos!$A:$E,2,FALSE())="FTA",$A11&gt;=VLOOKUP($B11,Ref_Acuerdos!$A:$E,3,FALSE())),1,0),0)</f>
        <v>0</v>
      </c>
      <c r="I11" s="4" t="n">
        <f aca="false">IFERROR(IF(AND(VLOOKUP($B11,Ref_Acuerdos!$A:$E,2,FALSE())="PTA",$A11&gt;=VLOOKUP($B11,Ref_Acuerdos!$A:$E,3,FALSE())),1,0),0)</f>
        <v>0</v>
      </c>
      <c r="J11" s="7" t="str">
        <f aca="false">IFERROR(IF($A11&gt;=VLOOKUP($B11,Ref_Acuerdos!$A:$E,3,FALSE()),VLOOKUP($B11,Ref_Acuerdos!$A:$E,4,FALSE()),""),"")</f>
        <v/>
      </c>
      <c r="K11" s="4" t="str">
        <f aca="false">IFERROR(IF($A11&gt;=VLOOKUP($B11,Ref_Acuerdos!$A:$E,3,FALSE()),VLOOKUP($B11,Ref_Acuerdos!$A:$E,5,FALSE()),"Sin FTA/PTA vigente ese año - arancel NMF"),"Sin FTA/PTA identificado - arancel NMF")</f>
        <v>Sin FTA/PTA identificado - arancel NMF</v>
      </c>
    </row>
    <row r="12" customFormat="false" ht="15" hidden="false" customHeight="false" outlineLevel="0" collapsed="false">
      <c r="A12" s="2" t="n">
        <v>2008</v>
      </c>
      <c r="B12" s="2" t="s">
        <v>26</v>
      </c>
      <c r="C12" s="4" t="str">
        <f aca="false">IFERROR(VLOOKUP($B12,Ref_Continente!$A:$B,2,FALSE()),"Sin clasificar")</f>
        <v>South America</v>
      </c>
      <c r="D12" s="5" t="n">
        <v>1210</v>
      </c>
      <c r="E12" s="6" t="n">
        <v>440</v>
      </c>
      <c r="F12" s="6" t="n">
        <v>2600</v>
      </c>
      <c r="G12" s="5" t="n">
        <v>179894594475.41</v>
      </c>
      <c r="H12" s="4" t="n">
        <f aca="false">IFERROR(IF(AND(VLOOKUP($B12,Ref_Acuerdos!$A:$E,2,FALSE())="FTA",$A12&gt;=VLOOKUP($B12,Ref_Acuerdos!$A:$E,3,FALSE())),1,0),0)</f>
        <v>0</v>
      </c>
      <c r="I12" s="4" t="n">
        <f aca="false">IFERROR(IF(AND(VLOOKUP($B12,Ref_Acuerdos!$A:$E,2,FALSE())="PTA",$A12&gt;=VLOOKUP($B12,Ref_Acuerdos!$A:$E,3,FALSE())),1,0),0)</f>
        <v>0</v>
      </c>
      <c r="J12" s="7" t="str">
        <f aca="false">IFERROR(IF($A12&gt;=VLOOKUP($B12,Ref_Acuerdos!$A:$E,3,FALSE()),VLOOKUP($B12,Ref_Acuerdos!$A:$E,4,FALSE()),""),"")</f>
        <v/>
      </c>
      <c r="K12" s="4" t="str">
        <f aca="false">IFERROR(IF($A12&gt;=VLOOKUP($B12,Ref_Acuerdos!$A:$E,3,FALSE()),VLOOKUP($B12,Ref_Acuerdos!$A:$E,5,FALSE()),"Sin FTA/PTA vigente ese año - arancel NMF"),"Sin FTA/PTA identificado - arancel NMF")</f>
        <v>Sin FTA/PTA vigente ese año - arancel NMF</v>
      </c>
    </row>
    <row r="13" customFormat="false" ht="15" hidden="false" customHeight="false" outlineLevel="0" collapsed="false">
      <c r="A13" s="2" t="n">
        <v>2008</v>
      </c>
      <c r="B13" s="2" t="s">
        <v>28</v>
      </c>
      <c r="C13" s="4" t="str">
        <f aca="false">IFERROR(VLOOKUP($B13,Ref_Continente!$A:$B,2,FALSE()),"Sin clasificar")</f>
        <v>Asia</v>
      </c>
      <c r="D13" s="5" t="n">
        <v>1175</v>
      </c>
      <c r="E13" s="6" t="n">
        <v>147</v>
      </c>
      <c r="F13" s="6" t="n">
        <v>17700</v>
      </c>
      <c r="G13" s="5" t="n">
        <v>219278749139.73</v>
      </c>
      <c r="H13" s="4" t="n">
        <f aca="false">IFERROR(IF(AND(VLOOKUP($B13,Ref_Acuerdos!$A:$E,2,FALSE())="FTA",$A13&gt;=VLOOKUP($B13,Ref_Acuerdos!$A:$E,3,FALSE())),1,0),0)</f>
        <v>0</v>
      </c>
      <c r="I13" s="4" t="n">
        <f aca="false">IFERROR(IF(AND(VLOOKUP($B13,Ref_Acuerdos!$A:$E,2,FALSE())="PTA",$A13&gt;=VLOOKUP($B13,Ref_Acuerdos!$A:$E,3,FALSE())),1,0),0)</f>
        <v>0</v>
      </c>
      <c r="J13" s="7" t="str">
        <f aca="false">IFERROR(IF($A13&gt;=VLOOKUP($B13,Ref_Acuerdos!$A:$E,3,FALSE()),VLOOKUP($B13,Ref_Acuerdos!$A:$E,4,FALSE()),""),"")</f>
        <v/>
      </c>
      <c r="K13" s="4" t="str">
        <f aca="false">IFERROR(IF($A13&gt;=VLOOKUP($B13,Ref_Acuerdos!$A:$E,3,FALSE()),VLOOKUP($B13,Ref_Acuerdos!$A:$E,5,FALSE()),"Sin FTA/PTA vigente ese año - arancel NMF"),"Sin FTA/PTA identificado - arancel NMF")</f>
        <v>Sin FTA/PTA identificado - arancel NMF</v>
      </c>
    </row>
    <row r="14" customFormat="false" ht="15" hidden="false" customHeight="false" outlineLevel="0" collapsed="false">
      <c r="A14" s="2" t="n">
        <v>2008</v>
      </c>
      <c r="B14" s="2" t="s">
        <v>45</v>
      </c>
      <c r="C14" s="4" t="str">
        <f aca="false">IFERROR(VLOOKUP($B14,Ref_Continente!$A:$B,2,FALSE()),"Sin clasificar")</f>
        <v>Europe</v>
      </c>
      <c r="D14" s="5" t="n">
        <v>661</v>
      </c>
      <c r="E14" s="6" t="n">
        <v>212</v>
      </c>
      <c r="F14" s="6" t="n">
        <v>9650</v>
      </c>
      <c r="G14" s="5" t="n">
        <v>3808197720125</v>
      </c>
      <c r="H14" s="4" t="n">
        <f aca="false">IFERROR(IF(AND(VLOOKUP($B14,Ref_Acuerdos!$A:$E,2,FALSE())="FTA",$A14&gt;=VLOOKUP($B14,Ref_Acuerdos!$A:$E,3,FALSE())),1,0),0)</f>
        <v>0</v>
      </c>
      <c r="I14" s="4" t="n">
        <f aca="false">IFERROR(IF(AND(VLOOKUP($B14,Ref_Acuerdos!$A:$E,2,FALSE())="PTA",$A14&gt;=VLOOKUP($B14,Ref_Acuerdos!$A:$E,3,FALSE())),1,0),0)</f>
        <v>0</v>
      </c>
      <c r="J14" s="7" t="str">
        <f aca="false">IFERROR(IF($A14&gt;=VLOOKUP($B14,Ref_Acuerdos!$A:$E,3,FALSE()),VLOOKUP($B14,Ref_Acuerdos!$A:$E,4,FALSE()),""),"")</f>
        <v/>
      </c>
      <c r="K14" s="4" t="str">
        <f aca="false">IFERROR(IF($A14&gt;=VLOOKUP($B14,Ref_Acuerdos!$A:$E,3,FALSE()),VLOOKUP($B14,Ref_Acuerdos!$A:$E,5,FALSE()),"Sin FTA/PTA vigente ese año - arancel NMF"),"Sin FTA/PTA identificado - arancel NMF")</f>
        <v>Sin FTA/PTA vigente ese año - arancel NMF</v>
      </c>
    </row>
    <row r="15" customFormat="false" ht="15" hidden="false" customHeight="false" outlineLevel="0" collapsed="false">
      <c r="A15" s="2" t="n">
        <v>2008</v>
      </c>
      <c r="B15" s="2" t="s">
        <v>42</v>
      </c>
      <c r="C15" s="4" t="str">
        <f aca="false">IFERROR(VLOOKUP($B15,Ref_Continente!$A:$B,2,FALSE()),"Sin clasificar")</f>
        <v>Europe</v>
      </c>
      <c r="D15" s="5" t="n">
        <v>436</v>
      </c>
      <c r="E15" s="6" t="n">
        <v>127</v>
      </c>
      <c r="F15" s="6" t="n">
        <v>9150</v>
      </c>
      <c r="G15" s="5" t="n">
        <v>2926802941585.86</v>
      </c>
      <c r="H15" s="4" t="n">
        <f aca="false">IFERROR(IF(AND(VLOOKUP($B15,Ref_Acuerdos!$A:$E,2,FALSE())="FTA",$A15&gt;=VLOOKUP($B15,Ref_Acuerdos!$A:$E,3,FALSE())),1,0),0)</f>
        <v>0</v>
      </c>
      <c r="I15" s="4" t="n">
        <f aca="false">IFERROR(IF(AND(VLOOKUP($B15,Ref_Acuerdos!$A:$E,2,FALSE())="PTA",$A15&gt;=VLOOKUP($B15,Ref_Acuerdos!$A:$E,3,FALSE())),1,0),0)</f>
        <v>0</v>
      </c>
      <c r="J15" s="7" t="str">
        <f aca="false">IFERROR(IF($A15&gt;=VLOOKUP($B15,Ref_Acuerdos!$A:$E,3,FALSE()),VLOOKUP($B15,Ref_Acuerdos!$A:$E,4,FALSE()),""),"")</f>
        <v/>
      </c>
      <c r="K15" s="4" t="str">
        <f aca="false">IFERROR(IF($A15&gt;=VLOOKUP($B15,Ref_Acuerdos!$A:$E,3,FALSE()),VLOOKUP($B15,Ref_Acuerdos!$A:$E,5,FALSE()),"Sin FTA/PTA vigente ese año - arancel NMF"),"Sin FTA/PTA identificado - arancel NMF")</f>
        <v>Sin FTA/PTA vigente ese año - arancel NMF</v>
      </c>
    </row>
    <row r="16" customFormat="false" ht="15" hidden="false" customHeight="false" outlineLevel="0" collapsed="false">
      <c r="A16" s="2" t="n">
        <v>2008</v>
      </c>
      <c r="B16" s="2" t="s">
        <v>59</v>
      </c>
      <c r="C16" s="4" t="str">
        <f aca="false">IFERROR(VLOOKUP($B16,Ref_Continente!$A:$B,2,FALSE()),"Sin clasificar")</f>
        <v>Europe</v>
      </c>
      <c r="D16" s="5" t="n">
        <v>358</v>
      </c>
      <c r="E16" s="6" t="n">
        <v>120</v>
      </c>
      <c r="F16" s="6" t="n">
        <v>10100</v>
      </c>
      <c r="G16" s="5" t="n">
        <v>2417508414187.19</v>
      </c>
      <c r="H16" s="4" t="n">
        <f aca="false">IFERROR(IF(AND(VLOOKUP($B16,Ref_Acuerdos!$A:$E,2,FALSE())="FTA",$A16&gt;=VLOOKUP($B16,Ref_Acuerdos!$A:$E,3,FALSE())),1,0),0)</f>
        <v>0</v>
      </c>
      <c r="I16" s="4" t="n">
        <f aca="false">IFERROR(IF(AND(VLOOKUP($B16,Ref_Acuerdos!$A:$E,2,FALSE())="PTA",$A16&gt;=VLOOKUP($B16,Ref_Acuerdos!$A:$E,3,FALSE())),1,0),0)</f>
        <v>0</v>
      </c>
      <c r="J16" s="7" t="str">
        <f aca="false">IFERROR(IF($A16&gt;=VLOOKUP($B16,Ref_Acuerdos!$A:$E,3,FALSE()),VLOOKUP($B16,Ref_Acuerdos!$A:$E,4,FALSE()),""),"")</f>
        <v/>
      </c>
      <c r="K16" s="4" t="str">
        <f aca="false">IFERROR(IF($A16&gt;=VLOOKUP($B16,Ref_Acuerdos!$A:$E,3,FALSE()),VLOOKUP($B16,Ref_Acuerdos!$A:$E,5,FALSE()),"Sin FTA/PTA vigente ese año - arancel NMF"),"Sin FTA/PTA identificado - arancel NMF")</f>
        <v>Sin FTA/PTA vigente ese año - arancel NMF</v>
      </c>
    </row>
    <row r="17" customFormat="false" ht="15" hidden="false" customHeight="false" outlineLevel="0" collapsed="false">
      <c r="A17" s="2" t="n">
        <v>2008</v>
      </c>
      <c r="B17" s="2" t="s">
        <v>102</v>
      </c>
      <c r="C17" s="4" t="str">
        <f aca="false">IFERROR(VLOOKUP($B17,Ref_Continente!$A:$B,2,FALSE()),"Sin clasificar")</f>
        <v>Asia</v>
      </c>
      <c r="D17" s="5" t="n">
        <v>357</v>
      </c>
      <c r="E17" s="6" t="n">
        <v>55</v>
      </c>
      <c r="F17" s="6" t="n">
        <v>18800</v>
      </c>
      <c r="G17" s="5" t="n">
        <v>193617323539.2</v>
      </c>
      <c r="H17" s="4" t="n">
        <f aca="false">IFERROR(IF(AND(VLOOKUP($B17,Ref_Acuerdos!$A:$E,2,FALSE())="FTA",$A17&gt;=VLOOKUP($B17,Ref_Acuerdos!$A:$E,3,FALSE())),1,0),0)</f>
        <v>0</v>
      </c>
      <c r="I17" s="4" t="n">
        <f aca="false">IFERROR(IF(AND(VLOOKUP($B17,Ref_Acuerdos!$A:$E,2,FALSE())="PTA",$A17&gt;=VLOOKUP($B17,Ref_Acuerdos!$A:$E,3,FALSE())),1,0),0)</f>
        <v>0</v>
      </c>
      <c r="J17" s="7" t="str">
        <f aca="false">IFERROR(IF($A17&gt;=VLOOKUP($B17,Ref_Acuerdos!$A:$E,3,FALSE()),VLOOKUP($B17,Ref_Acuerdos!$A:$E,4,FALSE()),""),"")</f>
        <v/>
      </c>
      <c r="K17" s="4" t="str">
        <f aca="false">IFERROR(IF($A17&gt;=VLOOKUP($B17,Ref_Acuerdos!$A:$E,3,FALSE()),VLOOKUP($B17,Ref_Acuerdos!$A:$E,5,FALSE()),"Sin FTA/PTA vigente ese año - arancel NMF"),"Sin FTA/PTA identificado - arancel NMF")</f>
        <v>Sin FTA/PTA identificado - arancel NMF</v>
      </c>
    </row>
    <row r="18" customFormat="false" ht="15" hidden="false" customHeight="false" outlineLevel="0" collapsed="false">
      <c r="A18" s="2" t="n">
        <v>2008</v>
      </c>
      <c r="B18" s="2" t="s">
        <v>20</v>
      </c>
      <c r="C18" s="4" t="str">
        <f aca="false">IFERROR(VLOOKUP($B18,Ref_Continente!$A:$B,2,FALSE()),"Sin clasificar")</f>
        <v>Europe</v>
      </c>
      <c r="D18" s="5" t="n">
        <v>211</v>
      </c>
      <c r="E18" s="6" t="n">
        <v>36</v>
      </c>
      <c r="F18" s="6" t="n">
        <v>9350</v>
      </c>
      <c r="G18" s="5" t="n">
        <v>517328087920.08</v>
      </c>
      <c r="H18" s="4" t="n">
        <f aca="false">IFERROR(IF(AND(VLOOKUP($B18,Ref_Acuerdos!$A:$E,2,FALSE())="FTA",$A18&gt;=VLOOKUP($B18,Ref_Acuerdos!$A:$E,3,FALSE())),1,0),0)</f>
        <v>0</v>
      </c>
      <c r="I18" s="4" t="n">
        <f aca="false">IFERROR(IF(AND(VLOOKUP($B18,Ref_Acuerdos!$A:$E,2,FALSE())="PTA",$A18&gt;=VLOOKUP($B18,Ref_Acuerdos!$A:$E,3,FALSE())),1,0),0)</f>
        <v>0</v>
      </c>
      <c r="J18" s="7" t="str">
        <f aca="false">IFERROR(IF($A18&gt;=VLOOKUP($B18,Ref_Acuerdos!$A:$E,3,FALSE()),VLOOKUP($B18,Ref_Acuerdos!$A:$E,4,FALSE()),""),"")</f>
        <v/>
      </c>
      <c r="K18" s="4" t="str">
        <f aca="false">IFERROR(IF($A18&gt;=VLOOKUP($B18,Ref_Acuerdos!$A:$E,3,FALSE()),VLOOKUP($B18,Ref_Acuerdos!$A:$E,5,FALSE()),"Sin FTA/PTA vigente ese año - arancel NMF"),"Sin FTA/PTA identificado - arancel NMF")</f>
        <v>Sin FTA/PTA vigente ese año - arancel NMF</v>
      </c>
    </row>
    <row r="19" customFormat="false" ht="15" hidden="false" customHeight="false" outlineLevel="0" collapsed="false">
      <c r="A19" s="2" t="n">
        <v>2008</v>
      </c>
      <c r="B19" s="2" t="s">
        <v>47</v>
      </c>
      <c r="C19" s="4" t="str">
        <f aca="false">IFERROR(VLOOKUP($B19,Ref_Continente!$A:$B,2,FALSE()),"Sin clasificar")</f>
        <v>Oceania</v>
      </c>
      <c r="D19" s="5" t="n">
        <v>156</v>
      </c>
      <c r="E19" s="6" t="n">
        <v>22</v>
      </c>
      <c r="F19" s="6" t="n">
        <v>14200</v>
      </c>
      <c r="G19" s="5" t="n">
        <v>4658000000</v>
      </c>
      <c r="H19" s="4" t="n">
        <f aca="false">IFERROR(IF(AND(VLOOKUP($B19,Ref_Acuerdos!$A:$E,2,FALSE())="FTA",$A19&gt;=VLOOKUP($B19,Ref_Acuerdos!$A:$E,3,FALSE())),1,0),0)</f>
        <v>0</v>
      </c>
      <c r="I19" s="4" t="n">
        <f aca="false">IFERROR(IF(AND(VLOOKUP($B19,Ref_Acuerdos!$A:$E,2,FALSE())="PTA",$A19&gt;=VLOOKUP($B19,Ref_Acuerdos!$A:$E,3,FALSE())),1,0),0)</f>
        <v>0</v>
      </c>
      <c r="J19" s="7" t="str">
        <f aca="false">IFERROR(IF($A19&gt;=VLOOKUP($B19,Ref_Acuerdos!$A:$E,3,FALSE()),VLOOKUP($B19,Ref_Acuerdos!$A:$E,4,FALSE()),""),"")</f>
        <v/>
      </c>
      <c r="K19" s="4" t="str">
        <f aca="false">IFERROR(IF($A19&gt;=VLOOKUP($B19,Ref_Acuerdos!$A:$E,3,FALSE()),VLOOKUP($B19,Ref_Acuerdos!$A:$E,5,FALSE()),"Sin FTA/PTA vigente ese año - arancel NMF"),"Sin FTA/PTA identificado - arancel NMF")</f>
        <v>Sin FTA/PTA identificado - arancel NMF</v>
      </c>
    </row>
    <row r="20" customFormat="false" ht="15" hidden="false" customHeight="false" outlineLevel="0" collapsed="false">
      <c r="A20" s="2" t="n">
        <v>2008</v>
      </c>
      <c r="B20" s="2" t="s">
        <v>117</v>
      </c>
      <c r="C20" s="4" t="str">
        <f aca="false">IFERROR(VLOOKUP($B20,Ref_Continente!$A:$B,2,FALSE()),"Sin clasificar")</f>
        <v>Europe</v>
      </c>
      <c r="D20" s="5" t="n">
        <v>98</v>
      </c>
      <c r="E20" s="6" t="n">
        <v>30</v>
      </c>
      <c r="F20" s="6" t="n">
        <v>9200</v>
      </c>
      <c r="G20" s="5" t="n">
        <v>2945251838235.29</v>
      </c>
      <c r="H20" s="4" t="n">
        <f aca="false">IFERROR(IF(AND(VLOOKUP($B20,Ref_Acuerdos!$A:$E,2,FALSE())="FTA",$A20&gt;=VLOOKUP($B20,Ref_Acuerdos!$A:$E,3,FALSE())),1,0),0)</f>
        <v>0</v>
      </c>
      <c r="I20" s="4" t="n">
        <f aca="false">IFERROR(IF(AND(VLOOKUP($B20,Ref_Acuerdos!$A:$E,2,FALSE())="PTA",$A20&gt;=VLOOKUP($B20,Ref_Acuerdos!$A:$E,3,FALSE())),1,0),0)</f>
        <v>0</v>
      </c>
      <c r="J20" s="7" t="str">
        <f aca="false">IFERROR(IF($A20&gt;=VLOOKUP($B20,Ref_Acuerdos!$A:$E,3,FALSE()),VLOOKUP($B20,Ref_Acuerdos!$A:$E,4,FALSE()),""),"")</f>
        <v/>
      </c>
      <c r="K20" s="4" t="str">
        <f aca="false">IFERROR(IF($A20&gt;=VLOOKUP($B20,Ref_Acuerdos!$A:$E,3,FALSE()),VLOOKUP($B20,Ref_Acuerdos!$A:$E,5,FALSE()),"Sin FTA/PTA vigente ese año - arancel NMF"),"Sin FTA/PTA identificado - arancel NMF")</f>
        <v>Sin FTA/PTA vigente ese año - arancel NMF</v>
      </c>
    </row>
    <row r="21" customFormat="false" ht="15" hidden="false" customHeight="false" outlineLevel="0" collapsed="false">
      <c r="A21" s="2" t="n">
        <v>2008</v>
      </c>
      <c r="B21" s="2" t="s">
        <v>6</v>
      </c>
      <c r="C21" s="4" t="str">
        <f aca="false">IFERROR(VLOOKUP($B21,Ref_Continente!$A:$B,2,FALSE()),"Sin clasificar")</f>
        <v>South America</v>
      </c>
      <c r="D21" s="5" t="n">
        <v>48</v>
      </c>
      <c r="E21" s="6" t="n">
        <v>9</v>
      </c>
      <c r="F21" s="6" t="n">
        <v>4320</v>
      </c>
      <c r="G21" s="5" t="n">
        <v>361558037110.42</v>
      </c>
      <c r="H21" s="4" t="n">
        <f aca="false">IFERROR(IF(AND(VLOOKUP($B21,Ref_Acuerdos!$A:$E,2,FALSE())="FTA",$A21&gt;=VLOOKUP($B21,Ref_Acuerdos!$A:$E,3,FALSE())),1,0),0)</f>
        <v>0</v>
      </c>
      <c r="I21" s="4" t="n">
        <f aca="false">IFERROR(IF(AND(VLOOKUP($B21,Ref_Acuerdos!$A:$E,2,FALSE())="PTA",$A21&gt;=VLOOKUP($B21,Ref_Acuerdos!$A:$E,3,FALSE())),1,0),0)</f>
        <v>1</v>
      </c>
      <c r="J21" s="7" t="n">
        <f aca="false">IFERROR(IF($A21&gt;=VLOOKUP($B21,Ref_Acuerdos!$A:$E,3,FALSE()),VLOOKUP($B21,Ref_Acuerdos!$A:$E,4,FALSE()),""),"")</f>
        <v>5</v>
      </c>
      <c r="K21" s="4" t="str">
        <f aca="false">IFERROR(IF($A21&gt;=VLOOKUP($B21,Ref_Acuerdos!$A:$E,3,FALSE()),VLOOKUP($B21,Ref_Acuerdos!$A:$E,5,FALSE()),"Sin FTA/PTA vigente ese año - arancel NMF"),"Sin FTA/PTA identificado - arancel NMF")</f>
        <v>Ecuador-Mercosur ACE 59 - preferencias parciales (tarifa referencial)</v>
      </c>
    </row>
    <row r="22" customFormat="false" ht="15" hidden="false" customHeight="false" outlineLevel="0" collapsed="false">
      <c r="A22" s="2" t="n">
        <v>2009</v>
      </c>
      <c r="B22" s="2" t="s">
        <v>96</v>
      </c>
      <c r="C22" s="4" t="str">
        <f aca="false">IFERROR(VLOOKUP($B22,Ref_Continente!$A:$B,2,FALSE()),"Sin clasificar")</f>
        <v>Europe</v>
      </c>
      <c r="D22" s="5" t="n">
        <v>3058726</v>
      </c>
      <c r="E22" s="6" t="n">
        <v>777809</v>
      </c>
      <c r="F22" s="6" t="n">
        <v>12000</v>
      </c>
      <c r="G22" s="5" t="n">
        <v>1222645900055.7</v>
      </c>
      <c r="H22" s="4" t="n">
        <f aca="false">IFERROR(IF(AND(VLOOKUP($B22,Ref_Acuerdos!$A:$E,2,FALSE())="FTA",$A22&gt;=VLOOKUP($B22,Ref_Acuerdos!$A:$E,3,FALSE())),1,0),0)</f>
        <v>0</v>
      </c>
      <c r="I22" s="4" t="n">
        <f aca="false">IFERROR(IF(AND(VLOOKUP($B22,Ref_Acuerdos!$A:$E,2,FALSE())="PTA",$A22&gt;=VLOOKUP($B22,Ref_Acuerdos!$A:$E,3,FALSE())),1,0),0)</f>
        <v>0</v>
      </c>
      <c r="J22" s="7" t="str">
        <f aca="false">IFERROR(IF($A22&gt;=VLOOKUP($B22,Ref_Acuerdos!$A:$E,3,FALSE()),VLOOKUP($B22,Ref_Acuerdos!$A:$E,4,FALSE()),""),"")</f>
        <v/>
      </c>
      <c r="K22" s="4" t="str">
        <f aca="false">IFERROR(IF($A22&gt;=VLOOKUP($B22,Ref_Acuerdos!$A:$E,3,FALSE()),VLOOKUP($B22,Ref_Acuerdos!$A:$E,5,FALSE()),"Sin FTA/PTA vigente ese año - arancel NMF"),"Sin FTA/PTA identificado - arancel NMF")</f>
        <v>Sin FTA/PTA identificado - arancel NMF</v>
      </c>
    </row>
    <row r="23" customFormat="false" ht="15" hidden="false" customHeight="false" outlineLevel="0" collapsed="false">
      <c r="A23" s="2" t="n">
        <v>2009</v>
      </c>
      <c r="B23" s="2" t="s">
        <v>114</v>
      </c>
      <c r="C23" s="4" t="str">
        <f aca="false">IFERROR(VLOOKUP($B23,Ref_Continente!$A:$B,2,FALSE()),"Sin clasificar")</f>
        <v>North America</v>
      </c>
      <c r="D23" s="5" t="n">
        <v>1985662</v>
      </c>
      <c r="E23" s="6" t="n">
        <v>326492</v>
      </c>
      <c r="F23" s="6" t="n">
        <v>4550</v>
      </c>
      <c r="G23" s="5" t="n">
        <v>14478064934000</v>
      </c>
      <c r="H23" s="4" t="n">
        <f aca="false">IFERROR(IF(AND(VLOOKUP($B23,Ref_Acuerdos!$A:$E,2,FALSE())="FTA",$A23&gt;=VLOOKUP($B23,Ref_Acuerdos!$A:$E,3,FALSE())),1,0),0)</f>
        <v>0</v>
      </c>
      <c r="I23" s="4" t="n">
        <f aca="false">IFERROR(IF(AND(VLOOKUP($B23,Ref_Acuerdos!$A:$E,2,FALSE())="PTA",$A23&gt;=VLOOKUP($B23,Ref_Acuerdos!$A:$E,3,FALSE())),1,0),0)</f>
        <v>0</v>
      </c>
      <c r="J23" s="7" t="str">
        <f aca="false">IFERROR(IF($A23&gt;=VLOOKUP($B23,Ref_Acuerdos!$A:$E,3,FALSE()),VLOOKUP($B23,Ref_Acuerdos!$A:$E,4,FALSE()),""),"")</f>
        <v/>
      </c>
      <c r="K23" s="4" t="str">
        <f aca="false">IFERROR(IF($A23&gt;=VLOOKUP($B23,Ref_Acuerdos!$A:$E,3,FALSE()),VLOOKUP($B23,Ref_Acuerdos!$A:$E,5,FALSE()),"Sin FTA/PTA vigente ese año - arancel NMF"),"Sin FTA/PTA identificado - arancel NMF")</f>
        <v>Sin FTA/PTA identificado - arancel NMF</v>
      </c>
    </row>
    <row r="24" customFormat="false" ht="15" hidden="false" customHeight="false" outlineLevel="0" collapsed="false">
      <c r="A24" s="2" t="n">
        <v>2009</v>
      </c>
      <c r="B24" s="2" t="s">
        <v>77</v>
      </c>
      <c r="C24" s="4" t="str">
        <f aca="false">IFERROR(VLOOKUP($B24,Ref_Continente!$A:$B,2,FALSE()),"Sin clasificar")</f>
        <v>Europe</v>
      </c>
      <c r="D24" s="5" t="n">
        <v>1472229</v>
      </c>
      <c r="E24" s="6" t="n">
        <v>18731</v>
      </c>
      <c r="F24" s="6" t="n">
        <v>9300</v>
      </c>
      <c r="G24" s="5" t="n">
        <v>878954223140.23</v>
      </c>
      <c r="H24" s="4" t="n">
        <f aca="false">IFERROR(IF(AND(VLOOKUP($B24,Ref_Acuerdos!$A:$E,2,FALSE())="FTA",$A24&gt;=VLOOKUP($B24,Ref_Acuerdos!$A:$E,3,FALSE())),1,0),0)</f>
        <v>0</v>
      </c>
      <c r="I24" s="4" t="n">
        <f aca="false">IFERROR(IF(AND(VLOOKUP($B24,Ref_Acuerdos!$A:$E,2,FALSE())="PTA",$A24&gt;=VLOOKUP($B24,Ref_Acuerdos!$A:$E,3,FALSE())),1,0),0)</f>
        <v>0</v>
      </c>
      <c r="J24" s="7" t="str">
        <f aca="false">IFERROR(IF($A24&gt;=VLOOKUP($B24,Ref_Acuerdos!$A:$E,3,FALSE()),VLOOKUP($B24,Ref_Acuerdos!$A:$E,4,FALSE()),""),"")</f>
        <v/>
      </c>
      <c r="K24" s="4" t="str">
        <f aca="false">IFERROR(IF($A24&gt;=VLOOKUP($B24,Ref_Acuerdos!$A:$E,3,FALSE()),VLOOKUP($B24,Ref_Acuerdos!$A:$E,5,FALSE()),"Sin FTA/PTA vigente ese año - arancel NMF"),"Sin FTA/PTA identificado - arancel NMF")</f>
        <v>Sin FTA/PTA vigente ese año - arancel NMF</v>
      </c>
    </row>
    <row r="25" customFormat="false" ht="15" hidden="false" customHeight="false" outlineLevel="0" collapsed="false">
      <c r="A25" s="2" t="n">
        <v>2009</v>
      </c>
      <c r="B25" s="2" t="s">
        <v>105</v>
      </c>
      <c r="C25" s="4" t="str">
        <f aca="false">IFERROR(VLOOKUP($B25,Ref_Continente!$A:$B,2,FALSE()),"Sin clasificar")</f>
        <v>Europe</v>
      </c>
      <c r="D25" s="5" t="n">
        <v>245286</v>
      </c>
      <c r="E25" s="6" t="n">
        <v>5774</v>
      </c>
      <c r="F25" s="6" t="n">
        <v>8700</v>
      </c>
      <c r="G25" s="5" t="n">
        <v>1496587590847.66</v>
      </c>
      <c r="H25" s="4" t="n">
        <f aca="false">IFERROR(IF(AND(VLOOKUP($B25,Ref_Acuerdos!$A:$E,2,FALSE())="FTA",$A25&gt;=VLOOKUP($B25,Ref_Acuerdos!$A:$E,3,FALSE())),1,0),0)</f>
        <v>0</v>
      </c>
      <c r="I25" s="4" t="n">
        <f aca="false">IFERROR(IF(AND(VLOOKUP($B25,Ref_Acuerdos!$A:$E,2,FALSE())="PTA",$A25&gt;=VLOOKUP($B25,Ref_Acuerdos!$A:$E,3,FALSE())),1,0),0)</f>
        <v>0</v>
      </c>
      <c r="J25" s="7" t="str">
        <f aca="false">IFERROR(IF($A25&gt;=VLOOKUP($B25,Ref_Acuerdos!$A:$E,3,FALSE()),VLOOKUP($B25,Ref_Acuerdos!$A:$E,4,FALSE()),""),"")</f>
        <v/>
      </c>
      <c r="K25" s="4" t="str">
        <f aca="false">IFERROR(IF($A25&gt;=VLOOKUP($B25,Ref_Acuerdos!$A:$E,3,FALSE()),VLOOKUP($B25,Ref_Acuerdos!$A:$E,5,FALSE()),"Sin FTA/PTA vigente ese año - arancel NMF"),"Sin FTA/PTA identificado - arancel NMF")</f>
        <v>Sin FTA/PTA vigente ese año - arancel NMF</v>
      </c>
    </row>
    <row r="26" customFormat="false" ht="15" hidden="false" customHeight="false" outlineLevel="0" collapsed="false">
      <c r="A26" s="2" t="n">
        <v>2009</v>
      </c>
      <c r="B26" s="2" t="s">
        <v>59</v>
      </c>
      <c r="C26" s="4" t="str">
        <f aca="false">IFERROR(VLOOKUP($B26,Ref_Continente!$A:$B,2,FALSE()),"Sin clasificar")</f>
        <v>Europe</v>
      </c>
      <c r="D26" s="5" t="n">
        <v>240140</v>
      </c>
      <c r="E26" s="6" t="n">
        <v>4984</v>
      </c>
      <c r="F26" s="6" t="n">
        <v>10100</v>
      </c>
      <c r="G26" s="5" t="n">
        <v>2209484319012.65</v>
      </c>
      <c r="H26" s="4" t="n">
        <f aca="false">IFERROR(IF(AND(VLOOKUP($B26,Ref_Acuerdos!$A:$E,2,FALSE())="FTA",$A26&gt;=VLOOKUP($B26,Ref_Acuerdos!$A:$E,3,FALSE())),1,0),0)</f>
        <v>0</v>
      </c>
      <c r="I26" s="4" t="n">
        <f aca="false">IFERROR(IF(AND(VLOOKUP($B26,Ref_Acuerdos!$A:$E,2,FALSE())="PTA",$A26&gt;=VLOOKUP($B26,Ref_Acuerdos!$A:$E,3,FALSE())),1,0),0)</f>
        <v>0</v>
      </c>
      <c r="J26" s="7" t="str">
        <f aca="false">IFERROR(IF($A26&gt;=VLOOKUP($B26,Ref_Acuerdos!$A:$E,3,FALSE()),VLOOKUP($B26,Ref_Acuerdos!$A:$E,4,FALSE()),""),"")</f>
        <v/>
      </c>
      <c r="K26" s="4" t="str">
        <f aca="false">IFERROR(IF($A26&gt;=VLOOKUP($B26,Ref_Acuerdos!$A:$E,3,FALSE()),VLOOKUP($B26,Ref_Acuerdos!$A:$E,5,FALSE()),"Sin FTA/PTA vigente ese año - arancel NMF"),"Sin FTA/PTA identificado - arancel NMF")</f>
        <v>Sin FTA/PTA vigente ese año - arancel NMF</v>
      </c>
    </row>
    <row r="27" customFormat="false" ht="15" hidden="false" customHeight="false" outlineLevel="0" collapsed="false">
      <c r="A27" s="2" t="n">
        <v>2009</v>
      </c>
      <c r="B27" s="2" t="s">
        <v>61</v>
      </c>
      <c r="C27" s="4" t="str">
        <f aca="false">IFERROR(VLOOKUP($B27,Ref_Continente!$A:$B,2,FALSE()),"Sin clasificar")</f>
        <v>Asia</v>
      </c>
      <c r="D27" s="5" t="n">
        <v>235360</v>
      </c>
      <c r="E27" s="6" t="n">
        <v>54545</v>
      </c>
      <c r="F27" s="6" t="n">
        <v>14500</v>
      </c>
      <c r="G27" s="5" t="n">
        <v>5289493117993.89</v>
      </c>
      <c r="H27" s="4" t="n">
        <f aca="false">IFERROR(IF(AND(VLOOKUP($B27,Ref_Acuerdos!$A:$E,2,FALSE())="FTA",$A27&gt;=VLOOKUP($B27,Ref_Acuerdos!$A:$E,3,FALSE())),1,0),0)</f>
        <v>0</v>
      </c>
      <c r="I27" s="4" t="n">
        <f aca="false">IFERROR(IF(AND(VLOOKUP($B27,Ref_Acuerdos!$A:$E,2,FALSE())="PTA",$A27&gt;=VLOOKUP($B27,Ref_Acuerdos!$A:$E,3,FALSE())),1,0),0)</f>
        <v>0</v>
      </c>
      <c r="J27" s="7" t="str">
        <f aca="false">IFERROR(IF($A27&gt;=VLOOKUP($B27,Ref_Acuerdos!$A:$E,3,FALSE()),VLOOKUP($B27,Ref_Acuerdos!$A:$E,4,FALSE()),""),"")</f>
        <v/>
      </c>
      <c r="K27" s="4" t="str">
        <f aca="false">IFERROR(IF($A27&gt;=VLOOKUP($B27,Ref_Acuerdos!$A:$E,3,FALSE()),VLOOKUP($B27,Ref_Acuerdos!$A:$E,5,FALSE()),"Sin FTA/PTA vigente ese año - arancel NMF"),"Sin FTA/PTA identificado - arancel NMF")</f>
        <v>Sin FTA/PTA identificado - arancel NMF</v>
      </c>
    </row>
    <row r="28" customFormat="false" ht="15" hidden="false" customHeight="false" outlineLevel="0" collapsed="false">
      <c r="A28" s="2" t="n">
        <v>2009</v>
      </c>
      <c r="B28" s="2" t="s">
        <v>115</v>
      </c>
      <c r="C28" s="4" t="str">
        <f aca="false">IFERROR(VLOOKUP($B28,Ref_Continente!$A:$B,2,FALSE()),"Sin clasificar")</f>
        <v>Europe</v>
      </c>
      <c r="D28" s="5" t="n">
        <v>194369</v>
      </c>
      <c r="E28" s="6" t="n">
        <v>48124</v>
      </c>
      <c r="F28" s="6" t="n">
        <v>11</v>
      </c>
      <c r="G28" s="5" t="n">
        <v>121552153444.12</v>
      </c>
      <c r="H28" s="4" t="n">
        <f aca="false">IFERROR(IF(AND(VLOOKUP($B28,Ref_Acuerdos!$A:$E,2,FALSE())="FTA",$A28&gt;=VLOOKUP($B28,Ref_Acuerdos!$A:$E,3,FALSE())),1,0),0)</f>
        <v>0</v>
      </c>
      <c r="I28" s="4" t="n">
        <f aca="false">IFERROR(IF(AND(VLOOKUP($B28,Ref_Acuerdos!$A:$E,2,FALSE())="PTA",$A28&gt;=VLOOKUP($B28,Ref_Acuerdos!$A:$E,3,FALSE())),1,0),0)</f>
        <v>0</v>
      </c>
      <c r="J28" s="7" t="str">
        <f aca="false">IFERROR(IF($A28&gt;=VLOOKUP($B28,Ref_Acuerdos!$A:$E,3,FALSE()),VLOOKUP($B28,Ref_Acuerdos!$A:$E,4,FALSE()),""),"")</f>
        <v/>
      </c>
      <c r="K28" s="4" t="str">
        <f aca="false">IFERROR(IF($A28&gt;=VLOOKUP($B28,Ref_Acuerdos!$A:$E,3,FALSE()),VLOOKUP($B28,Ref_Acuerdos!$A:$E,5,FALSE()),"Sin FTA/PTA vigente ese año - arancel NMF"),"Sin FTA/PTA identificado - arancel NMF")</f>
        <v>Sin FTA/PTA identificado - arancel NMF</v>
      </c>
    </row>
    <row r="29" customFormat="false" ht="15" hidden="false" customHeight="false" outlineLevel="0" collapsed="false">
      <c r="A29" s="2" t="n">
        <v>2009</v>
      </c>
      <c r="B29" s="2" t="s">
        <v>29</v>
      </c>
      <c r="C29" s="4" t="str">
        <f aca="false">IFERROR(VLOOKUP($B29,Ref_Continente!$A:$B,2,FALSE()),"Sin clasificar")</f>
        <v>South America</v>
      </c>
      <c r="D29" s="5" t="n">
        <v>166414</v>
      </c>
      <c r="E29" s="6" t="n">
        <v>47787</v>
      </c>
      <c r="F29" s="6" t="n">
        <v>720</v>
      </c>
      <c r="G29" s="5" t="n">
        <v>232468663109.6</v>
      </c>
      <c r="H29" s="4" t="n">
        <f aca="false">IFERROR(IF(AND(VLOOKUP($B29,Ref_Acuerdos!$A:$E,2,FALSE())="FTA",$A29&gt;=VLOOKUP($B29,Ref_Acuerdos!$A:$E,3,FALSE())),1,0),0)</f>
        <v>0</v>
      </c>
      <c r="I29" s="4" t="n">
        <f aca="false">IFERROR(IF(AND(VLOOKUP($B29,Ref_Acuerdos!$A:$E,2,FALSE())="PTA",$A29&gt;=VLOOKUP($B29,Ref_Acuerdos!$A:$E,3,FALSE())),1,0),0)</f>
        <v>1</v>
      </c>
      <c r="J29" s="7" t="n">
        <f aca="false">IFERROR(IF($A29&gt;=VLOOKUP($B29,Ref_Acuerdos!$A:$E,3,FALSE()),VLOOKUP($B29,Ref_Acuerdos!$A:$E,4,FALSE()),""),"")</f>
        <v>0</v>
      </c>
      <c r="K29" s="4" t="str">
        <f aca="false">IFERROR(IF($A29&gt;=VLOOKUP($B29,Ref_Acuerdos!$A:$E,3,FALSE()),VLOOKUP($B29,Ref_Acuerdos!$A:$E,5,FALSE()),"Sin FTA/PTA vigente ese año - arancel NMF"),"Sin FTA/PTA identificado - arancel NMF")</f>
        <v>Comunidad Andina (CAN) - libre comercio intracomunitario</v>
      </c>
    </row>
    <row r="30" customFormat="false" ht="15" hidden="false" customHeight="false" outlineLevel="0" collapsed="false">
      <c r="A30" s="2" t="n">
        <v>2009</v>
      </c>
      <c r="B30" s="2" t="s">
        <v>78</v>
      </c>
      <c r="C30" s="4" t="str">
        <f aca="false">IFERROR(VLOOKUP($B30,Ref_Continente!$A:$B,2,FALSE()),"Sin clasificar")</f>
        <v>North America</v>
      </c>
      <c r="D30" s="5" t="n">
        <v>104817</v>
      </c>
      <c r="E30" s="6" t="n">
        <v>27726</v>
      </c>
      <c r="F30" s="6" t="n">
        <v>2250</v>
      </c>
      <c r="G30" s="5"/>
      <c r="H30" s="4" t="n">
        <f aca="false">IFERROR(IF(AND(VLOOKUP($B30,Ref_Acuerdos!$A:$E,2,FALSE())="FTA",$A30&gt;=VLOOKUP($B30,Ref_Acuerdos!$A:$E,3,FALSE())),1,0),0)</f>
        <v>0</v>
      </c>
      <c r="I30" s="4" t="n">
        <f aca="false">IFERROR(IF(AND(VLOOKUP($B30,Ref_Acuerdos!$A:$E,2,FALSE())="PTA",$A30&gt;=VLOOKUP($B30,Ref_Acuerdos!$A:$E,3,FALSE())),1,0),0)</f>
        <v>0</v>
      </c>
      <c r="J30" s="7" t="str">
        <f aca="false">IFERROR(IF($A30&gt;=VLOOKUP($B30,Ref_Acuerdos!$A:$E,3,FALSE()),VLOOKUP($B30,Ref_Acuerdos!$A:$E,4,FALSE()),""),"")</f>
        <v/>
      </c>
      <c r="K30" s="4" t="str">
        <f aca="false">IFERROR(IF($A30&gt;=VLOOKUP($B30,Ref_Acuerdos!$A:$E,3,FALSE()),VLOOKUP($B30,Ref_Acuerdos!$A:$E,5,FALSE()),"Sin FTA/PTA vigente ese año - arancel NMF"),"Sin FTA/PTA identificado - arancel NMF")</f>
        <v>Sin FTA/PTA identificado - arancel NMF</v>
      </c>
    </row>
    <row r="31" customFormat="false" ht="15" hidden="false" customHeight="false" outlineLevel="0" collapsed="false">
      <c r="A31" s="2" t="n">
        <v>2009</v>
      </c>
      <c r="B31" s="2" t="s">
        <v>12</v>
      </c>
      <c r="C31" s="4" t="str">
        <f aca="false">IFERROR(VLOOKUP($B31,Ref_Continente!$A:$B,2,FALSE()),"Sin clasificar")</f>
        <v>Oceania</v>
      </c>
      <c r="D31" s="5" t="n">
        <v>70321</v>
      </c>
      <c r="E31" s="6" t="n">
        <v>18122</v>
      </c>
      <c r="F31" s="6" t="n">
        <v>14000</v>
      </c>
      <c r="G31" s="5" t="n">
        <v>931761689770.84</v>
      </c>
      <c r="H31" s="4" t="n">
        <f aca="false">IFERROR(IF(AND(VLOOKUP($B31,Ref_Acuerdos!$A:$E,2,FALSE())="FTA",$A31&gt;=VLOOKUP($B31,Ref_Acuerdos!$A:$E,3,FALSE())),1,0),0)</f>
        <v>0</v>
      </c>
      <c r="I31" s="4" t="n">
        <f aca="false">IFERROR(IF(AND(VLOOKUP($B31,Ref_Acuerdos!$A:$E,2,FALSE())="PTA",$A31&gt;=VLOOKUP($B31,Ref_Acuerdos!$A:$E,3,FALSE())),1,0),0)</f>
        <v>0</v>
      </c>
      <c r="J31" s="7" t="str">
        <f aca="false">IFERROR(IF($A31&gt;=VLOOKUP($B31,Ref_Acuerdos!$A:$E,3,FALSE()),VLOOKUP($B31,Ref_Acuerdos!$A:$E,4,FALSE()),""),"")</f>
        <v/>
      </c>
      <c r="K31" s="4" t="str">
        <f aca="false">IFERROR(IF($A31&gt;=VLOOKUP($B31,Ref_Acuerdos!$A:$E,3,FALSE()),VLOOKUP($B31,Ref_Acuerdos!$A:$E,5,FALSE()),"Sin FTA/PTA vigente ese año - arancel NMF"),"Sin FTA/PTA identificado - arancel NMF")</f>
        <v>Sin FTA/PTA identificado - arancel NMF</v>
      </c>
    </row>
    <row r="32" customFormat="false" ht="15" hidden="false" customHeight="false" outlineLevel="0" collapsed="false">
      <c r="A32" s="2" t="n">
        <v>2009</v>
      </c>
      <c r="B32" s="2" t="s">
        <v>86</v>
      </c>
      <c r="C32" s="4" t="str">
        <f aca="false">IFERROR(VLOOKUP($B32,Ref_Continente!$A:$B,2,FALSE()),"Sin clasificar")</f>
        <v>North America</v>
      </c>
      <c r="D32" s="5" t="n">
        <v>58156</v>
      </c>
      <c r="E32" s="6" t="n">
        <v>14669</v>
      </c>
      <c r="F32" s="6" t="n">
        <v>1020</v>
      </c>
      <c r="G32" s="5" t="n">
        <v>27791215547.35</v>
      </c>
      <c r="H32" s="4" t="n">
        <f aca="false">IFERROR(IF(AND(VLOOKUP($B32,Ref_Acuerdos!$A:$E,2,FALSE())="FTA",$A32&gt;=VLOOKUP($B32,Ref_Acuerdos!$A:$E,3,FALSE())),1,0),0)</f>
        <v>0</v>
      </c>
      <c r="I32" s="4" t="n">
        <f aca="false">IFERROR(IF(AND(VLOOKUP($B32,Ref_Acuerdos!$A:$E,2,FALSE())="PTA",$A32&gt;=VLOOKUP($B32,Ref_Acuerdos!$A:$E,3,FALSE())),1,0),0)</f>
        <v>1</v>
      </c>
      <c r="J32" s="7" t="n">
        <f aca="false">IFERROR(IF($A32&gt;=VLOOKUP($B32,Ref_Acuerdos!$A:$E,3,FALSE()),VLOOKUP($B32,Ref_Acuerdos!$A:$E,4,FALSE()),""),"")</f>
        <v>10</v>
      </c>
      <c r="K32" s="4" t="str">
        <f aca="false">IFERROR(IF($A32&gt;=VLOOKUP($B32,Ref_Acuerdos!$A:$E,3,FALSE()),VLOOKUP($B32,Ref_Acuerdos!$A:$E,5,FALSE()),"Sin FTA/PTA vigente ese año - arancel NMF"),"Sin FTA/PTA identificado - arancel NMF")</f>
        <v>ALADI - Acuerdo de Alcance Parcial (preferencia limitada, tarifa referencial)</v>
      </c>
    </row>
    <row r="33" customFormat="false" ht="15" hidden="false" customHeight="false" outlineLevel="0" collapsed="false">
      <c r="A33" s="2" t="n">
        <v>2009</v>
      </c>
      <c r="B33" s="2" t="s">
        <v>25</v>
      </c>
      <c r="C33" s="4" t="str">
        <f aca="false">IFERROR(VLOOKUP($B33,Ref_Continente!$A:$B,2,FALSE()),"Sin clasificar")</f>
        <v>North America</v>
      </c>
      <c r="D33" s="5" t="n">
        <v>47391</v>
      </c>
      <c r="E33" s="6" t="n">
        <v>11929</v>
      </c>
      <c r="F33" s="6" t="n">
        <v>5900</v>
      </c>
      <c r="G33" s="5" t="n">
        <v>1374625142157.29</v>
      </c>
      <c r="H33" s="4" t="n">
        <f aca="false">IFERROR(IF(AND(VLOOKUP($B33,Ref_Acuerdos!$A:$E,2,FALSE())="FTA",$A33&gt;=VLOOKUP($B33,Ref_Acuerdos!$A:$E,3,FALSE())),1,0),0)</f>
        <v>0</v>
      </c>
      <c r="I33" s="4" t="n">
        <f aca="false">IFERROR(IF(AND(VLOOKUP($B33,Ref_Acuerdos!$A:$E,2,FALSE())="PTA",$A33&gt;=VLOOKUP($B33,Ref_Acuerdos!$A:$E,3,FALSE())),1,0),0)</f>
        <v>0</v>
      </c>
      <c r="J33" s="7" t="str">
        <f aca="false">IFERROR(IF($A33&gt;=VLOOKUP($B33,Ref_Acuerdos!$A:$E,3,FALSE()),VLOOKUP($B33,Ref_Acuerdos!$A:$E,4,FALSE()),""),"")</f>
        <v/>
      </c>
      <c r="K33" s="4" t="str">
        <f aca="false">IFERROR(IF($A33&gt;=VLOOKUP($B33,Ref_Acuerdos!$A:$E,3,FALSE()),VLOOKUP($B33,Ref_Acuerdos!$A:$E,5,FALSE()),"Sin FTA/PTA vigente ese año - arancel NMF"),"Sin FTA/PTA identificado - arancel NMF")</f>
        <v>Sin FTA/PTA identificado - arancel NMF</v>
      </c>
    </row>
    <row r="34" customFormat="false" ht="15" hidden="false" customHeight="false" outlineLevel="0" collapsed="false">
      <c r="A34" s="2" t="n">
        <v>2009</v>
      </c>
      <c r="B34" s="2" t="s">
        <v>45</v>
      </c>
      <c r="C34" s="4" t="str">
        <f aca="false">IFERROR(VLOOKUP($B34,Ref_Continente!$A:$B,2,FALSE()),"Sin clasificar")</f>
        <v>Europe</v>
      </c>
      <c r="D34" s="5" t="n">
        <v>39339</v>
      </c>
      <c r="E34" s="6" t="n">
        <v>9814</v>
      </c>
      <c r="F34" s="6" t="n">
        <v>9650</v>
      </c>
      <c r="G34" s="5" t="n">
        <v>3478545516683.59</v>
      </c>
      <c r="H34" s="4" t="n">
        <f aca="false">IFERROR(IF(AND(VLOOKUP($B34,Ref_Acuerdos!$A:$E,2,FALSE())="FTA",$A34&gt;=VLOOKUP($B34,Ref_Acuerdos!$A:$E,3,FALSE())),1,0),0)</f>
        <v>0</v>
      </c>
      <c r="I34" s="4" t="n">
        <f aca="false">IFERROR(IF(AND(VLOOKUP($B34,Ref_Acuerdos!$A:$E,2,FALSE())="PTA",$A34&gt;=VLOOKUP($B34,Ref_Acuerdos!$A:$E,3,FALSE())),1,0),0)</f>
        <v>0</v>
      </c>
      <c r="J34" s="7" t="str">
        <f aca="false">IFERROR(IF($A34&gt;=VLOOKUP($B34,Ref_Acuerdos!$A:$E,3,FALSE()),VLOOKUP($B34,Ref_Acuerdos!$A:$E,4,FALSE()),""),"")</f>
        <v/>
      </c>
      <c r="K34" s="4" t="str">
        <f aca="false">IFERROR(IF($A34&gt;=VLOOKUP($B34,Ref_Acuerdos!$A:$E,3,FALSE()),VLOOKUP($B34,Ref_Acuerdos!$A:$E,5,FALSE()),"Sin FTA/PTA vigente ese año - arancel NMF"),"Sin FTA/PTA identificado - arancel NMF")</f>
        <v>Sin FTA/PTA vigente ese año - arancel NMF</v>
      </c>
    </row>
    <row r="35" customFormat="false" ht="15" hidden="false" customHeight="false" outlineLevel="0" collapsed="false">
      <c r="A35" s="2" t="n">
        <v>2009</v>
      </c>
      <c r="B35" s="2" t="s">
        <v>26</v>
      </c>
      <c r="C35" s="4" t="str">
        <f aca="false">IFERROR(VLOOKUP($B35,Ref_Continente!$A:$B,2,FALSE()),"Sin clasificar")</f>
        <v>South America</v>
      </c>
      <c r="D35" s="5" t="n">
        <v>38005</v>
      </c>
      <c r="E35" s="6" t="n">
        <v>11396</v>
      </c>
      <c r="F35" s="6" t="n">
        <v>2600</v>
      </c>
      <c r="G35" s="5" t="n">
        <v>171777900623.89</v>
      </c>
      <c r="H35" s="4" t="n">
        <f aca="false">IFERROR(IF(AND(VLOOKUP($B35,Ref_Acuerdos!$A:$E,2,FALSE())="FTA",$A35&gt;=VLOOKUP($B35,Ref_Acuerdos!$A:$E,3,FALSE())),1,0),0)</f>
        <v>0</v>
      </c>
      <c r="I35" s="4" t="n">
        <f aca="false">IFERROR(IF(AND(VLOOKUP($B35,Ref_Acuerdos!$A:$E,2,FALSE())="PTA",$A35&gt;=VLOOKUP($B35,Ref_Acuerdos!$A:$E,3,FALSE())),1,0),0)</f>
        <v>0</v>
      </c>
      <c r="J35" s="7" t="str">
        <f aca="false">IFERROR(IF($A35&gt;=VLOOKUP($B35,Ref_Acuerdos!$A:$E,3,FALSE()),VLOOKUP($B35,Ref_Acuerdos!$A:$E,4,FALSE()),""),"")</f>
        <v/>
      </c>
      <c r="K35" s="4" t="str">
        <f aca="false">IFERROR(IF($A35&gt;=VLOOKUP($B35,Ref_Acuerdos!$A:$E,3,FALSE()),VLOOKUP($B35,Ref_Acuerdos!$A:$E,5,FALSE()),"Sin FTA/PTA vigente ese año - arancel NMF"),"Sin FTA/PTA identificado - arancel NMF")</f>
        <v>Sin FTA/PTA vigente ese año - arancel NMF</v>
      </c>
    </row>
    <row r="36" customFormat="false" ht="15" hidden="false" customHeight="false" outlineLevel="0" collapsed="false">
      <c r="A36" s="2" t="n">
        <v>2009</v>
      </c>
      <c r="B36" s="2" t="s">
        <v>32</v>
      </c>
      <c r="C36" s="4" t="str">
        <f aca="false">IFERROR(VLOOKUP($B36,Ref_Continente!$A:$B,2,FALSE()),"Sin clasificar")</f>
        <v>North America</v>
      </c>
      <c r="D36" s="5" t="n">
        <v>23008</v>
      </c>
      <c r="E36" s="6" t="n">
        <v>4374</v>
      </c>
      <c r="F36" s="6" t="n">
        <v>2450</v>
      </c>
      <c r="G36" s="5" t="n">
        <v>57481481481.48</v>
      </c>
      <c r="H36" s="4" t="n">
        <f aca="false">IFERROR(IF(AND(VLOOKUP($B36,Ref_Acuerdos!$A:$E,2,FALSE())="FTA",$A36&gt;=VLOOKUP($B36,Ref_Acuerdos!$A:$E,3,FALSE())),1,0),0)</f>
        <v>0</v>
      </c>
      <c r="I36" s="4" t="n">
        <f aca="false">IFERROR(IF(AND(VLOOKUP($B36,Ref_Acuerdos!$A:$E,2,FALSE())="PTA",$A36&gt;=VLOOKUP($B36,Ref_Acuerdos!$A:$E,3,FALSE())),1,0),0)</f>
        <v>1</v>
      </c>
      <c r="J36" s="7" t="n">
        <f aca="false">IFERROR(IF($A36&gt;=VLOOKUP($B36,Ref_Acuerdos!$A:$E,3,FALSE()),VLOOKUP($B36,Ref_Acuerdos!$A:$E,4,FALSE()),""),"")</f>
        <v>10</v>
      </c>
      <c r="K36" s="4" t="str">
        <f aca="false">IFERROR(IF($A36&gt;=VLOOKUP($B36,Ref_Acuerdos!$A:$E,3,FALSE()),VLOOKUP($B36,Ref_Acuerdos!$A:$E,5,FALSE()),"Sin FTA/PTA vigente ese año - arancel NMF"),"Sin FTA/PTA identificado - arancel NMF")</f>
        <v>ALADI - Acuerdo de Alcance Parcial (preferencia limitada, tarifa referencial)</v>
      </c>
    </row>
    <row r="37" customFormat="false" ht="15" hidden="false" customHeight="false" outlineLevel="0" collapsed="false">
      <c r="A37" s="2" t="n">
        <v>2009</v>
      </c>
      <c r="B37" s="2" t="s">
        <v>91</v>
      </c>
      <c r="C37" s="4" t="str">
        <f aca="false">IFERROR(VLOOKUP($B37,Ref_Continente!$A:$B,2,FALSE()),"Sin clasificar")</f>
        <v>Europe</v>
      </c>
      <c r="D37" s="5" t="n">
        <v>20952</v>
      </c>
      <c r="E37" s="6" t="n">
        <v>4718</v>
      </c>
      <c r="F37" s="6" t="n">
        <v>8700</v>
      </c>
      <c r="G37" s="5" t="n">
        <v>244667762835.54</v>
      </c>
      <c r="H37" s="4" t="n">
        <f aca="false">IFERROR(IF(AND(VLOOKUP($B37,Ref_Acuerdos!$A:$E,2,FALSE())="FTA",$A37&gt;=VLOOKUP($B37,Ref_Acuerdos!$A:$E,3,FALSE())),1,0),0)</f>
        <v>0</v>
      </c>
      <c r="I37" s="4" t="n">
        <f aca="false">IFERROR(IF(AND(VLOOKUP($B37,Ref_Acuerdos!$A:$E,2,FALSE())="PTA",$A37&gt;=VLOOKUP($B37,Ref_Acuerdos!$A:$E,3,FALSE())),1,0),0)</f>
        <v>0</v>
      </c>
      <c r="J37" s="7" t="str">
        <f aca="false">IFERROR(IF($A37&gt;=VLOOKUP($B37,Ref_Acuerdos!$A:$E,3,FALSE()),VLOOKUP($B37,Ref_Acuerdos!$A:$E,4,FALSE()),""),"")</f>
        <v/>
      </c>
      <c r="K37" s="4" t="str">
        <f aca="false">IFERROR(IF($A37&gt;=VLOOKUP($B37,Ref_Acuerdos!$A:$E,3,FALSE()),VLOOKUP($B37,Ref_Acuerdos!$A:$E,5,FALSE()),"Sin FTA/PTA vigente ese año - arancel NMF"),"Sin FTA/PTA identificado - arancel NMF")</f>
        <v>Sin FTA/PTA vigente ese año - arancel NMF</v>
      </c>
    </row>
    <row r="38" customFormat="false" ht="15" hidden="false" customHeight="false" outlineLevel="0" collapsed="false">
      <c r="A38" s="2" t="n">
        <v>2009</v>
      </c>
      <c r="B38" s="2" t="s">
        <v>55</v>
      </c>
      <c r="C38" s="4" t="str">
        <f aca="false">IFERROR(VLOOKUP($B38,Ref_Continente!$A:$B,2,FALSE()),"Sin clasificar")</f>
        <v>Asia</v>
      </c>
      <c r="D38" s="5" t="n">
        <v>20282</v>
      </c>
      <c r="E38" s="6" t="n">
        <v>1998</v>
      </c>
      <c r="F38" s="6"/>
      <c r="G38" s="5"/>
      <c r="H38" s="4" t="n">
        <f aca="false">IFERROR(IF(AND(VLOOKUP($B38,Ref_Acuerdos!$A:$E,2,FALSE())="FTA",$A38&gt;=VLOOKUP($B38,Ref_Acuerdos!$A:$E,3,FALSE())),1,0),0)</f>
        <v>0</v>
      </c>
      <c r="I38" s="4" t="n">
        <f aca="false">IFERROR(IF(AND(VLOOKUP($B38,Ref_Acuerdos!$A:$E,2,FALSE())="PTA",$A38&gt;=VLOOKUP($B38,Ref_Acuerdos!$A:$E,3,FALSE())),1,0),0)</f>
        <v>0</v>
      </c>
      <c r="J38" s="7" t="str">
        <f aca="false">IFERROR(IF($A38&gt;=VLOOKUP($B38,Ref_Acuerdos!$A:$E,3,FALSE()),VLOOKUP($B38,Ref_Acuerdos!$A:$E,4,FALSE()),""),"")</f>
        <v/>
      </c>
      <c r="K38" s="4" t="str">
        <f aca="false">IFERROR(IF($A38&gt;=VLOOKUP($B38,Ref_Acuerdos!$A:$E,3,FALSE()),VLOOKUP($B38,Ref_Acuerdos!$A:$E,5,FALSE()),"Sin FTA/PTA vigente ese año - arancel NMF"),"Sin FTA/PTA identificado - arancel NMF")</f>
        <v>Sin FTA/PTA identificado - arancel NMF</v>
      </c>
    </row>
    <row r="39" customFormat="false" ht="15" hidden="false" customHeight="false" outlineLevel="0" collapsed="false">
      <c r="A39" s="2" t="n">
        <v>2009</v>
      </c>
      <c r="B39" s="2" t="s">
        <v>89</v>
      </c>
      <c r="C39" s="4" t="str">
        <f aca="false">IFERROR(VLOOKUP($B39,Ref_Continente!$A:$B,2,FALSE()),"Sin clasificar")</f>
        <v>Asia</v>
      </c>
      <c r="D39" s="5" t="n">
        <v>18020</v>
      </c>
      <c r="E39" s="6" t="n">
        <v>1055</v>
      </c>
      <c r="F39" s="6" t="n">
        <v>17800</v>
      </c>
      <c r="G39" s="5" t="n">
        <v>175974755881.37</v>
      </c>
      <c r="H39" s="4" t="n">
        <f aca="false">IFERROR(IF(AND(VLOOKUP($B39,Ref_Acuerdos!$A:$E,2,FALSE())="FTA",$A39&gt;=VLOOKUP($B39,Ref_Acuerdos!$A:$E,3,FALSE())),1,0),0)</f>
        <v>0</v>
      </c>
      <c r="I39" s="4" t="n">
        <f aca="false">IFERROR(IF(AND(VLOOKUP($B39,Ref_Acuerdos!$A:$E,2,FALSE())="PTA",$A39&gt;=VLOOKUP($B39,Ref_Acuerdos!$A:$E,3,FALSE())),1,0),0)</f>
        <v>0</v>
      </c>
      <c r="J39" s="7" t="str">
        <f aca="false">IFERROR(IF($A39&gt;=VLOOKUP($B39,Ref_Acuerdos!$A:$E,3,FALSE()),VLOOKUP($B39,Ref_Acuerdos!$A:$E,4,FALSE()),""),"")</f>
        <v/>
      </c>
      <c r="K39" s="4" t="str">
        <f aca="false">IFERROR(IF($A39&gt;=VLOOKUP($B39,Ref_Acuerdos!$A:$E,3,FALSE()),VLOOKUP($B39,Ref_Acuerdos!$A:$E,5,FALSE()),"Sin FTA/PTA vigente ese año - arancel NMF"),"Sin FTA/PTA identificado - arancel NMF")</f>
        <v>Sin FTA/PTA identificado - arancel NMF</v>
      </c>
    </row>
    <row r="40" customFormat="false" ht="15" hidden="false" customHeight="false" outlineLevel="0" collapsed="false">
      <c r="A40" s="2" t="n">
        <v>2009</v>
      </c>
      <c r="B40" s="2" t="s">
        <v>42</v>
      </c>
      <c r="C40" s="4" t="str">
        <f aca="false">IFERROR(VLOOKUP($B40,Ref_Continente!$A:$B,2,FALSE()),"Sin clasificar")</f>
        <v>Europe</v>
      </c>
      <c r="D40" s="5" t="n">
        <v>17594</v>
      </c>
      <c r="E40" s="6" t="n">
        <v>3191</v>
      </c>
      <c r="F40" s="6" t="n">
        <v>9150</v>
      </c>
      <c r="G40" s="5" t="n">
        <v>2700075882518.98</v>
      </c>
      <c r="H40" s="4" t="n">
        <f aca="false">IFERROR(IF(AND(VLOOKUP($B40,Ref_Acuerdos!$A:$E,2,FALSE())="FTA",$A40&gt;=VLOOKUP($B40,Ref_Acuerdos!$A:$E,3,FALSE())),1,0),0)</f>
        <v>0</v>
      </c>
      <c r="I40" s="4" t="n">
        <f aca="false">IFERROR(IF(AND(VLOOKUP($B40,Ref_Acuerdos!$A:$E,2,FALSE())="PTA",$A40&gt;=VLOOKUP($B40,Ref_Acuerdos!$A:$E,3,FALSE())),1,0),0)</f>
        <v>0</v>
      </c>
      <c r="J40" s="7" t="str">
        <f aca="false">IFERROR(IF($A40&gt;=VLOOKUP($B40,Ref_Acuerdos!$A:$E,3,FALSE()),VLOOKUP($B40,Ref_Acuerdos!$A:$E,4,FALSE()),""),"")</f>
        <v/>
      </c>
      <c r="K40" s="4" t="str">
        <f aca="false">IFERROR(IF($A40&gt;=VLOOKUP($B40,Ref_Acuerdos!$A:$E,3,FALSE()),VLOOKUP($B40,Ref_Acuerdos!$A:$E,5,FALSE()),"Sin FTA/PTA vigente ese año - arancel NMF"),"Sin FTA/PTA identificado - arancel NMF")</f>
        <v>Sin FTA/PTA vigente ese año - arancel NMF</v>
      </c>
    </row>
    <row r="41" customFormat="false" ht="15" hidden="false" customHeight="false" outlineLevel="0" collapsed="false">
      <c r="A41" s="2" t="n">
        <v>2009</v>
      </c>
      <c r="B41" s="2" t="s">
        <v>107</v>
      </c>
      <c r="C41" s="4" t="str">
        <f aca="false">IFERROR(VLOOKUP($B41,Ref_Continente!$A:$B,2,FALSE()),"Sin clasificar")</f>
        <v>Europe</v>
      </c>
      <c r="D41" s="5" t="n">
        <v>16290</v>
      </c>
      <c r="E41" s="6" t="n">
        <v>4099</v>
      </c>
      <c r="F41" s="6" t="n">
        <v>10000</v>
      </c>
      <c r="G41" s="5" t="n">
        <v>434311714442.5</v>
      </c>
      <c r="H41" s="4" t="n">
        <f aca="false">IFERROR(IF(AND(VLOOKUP($B41,Ref_Acuerdos!$A:$E,2,FALSE())="FTA",$A41&gt;=VLOOKUP($B41,Ref_Acuerdos!$A:$E,3,FALSE())),1,0),0)</f>
        <v>0</v>
      </c>
      <c r="I41" s="4" t="n">
        <f aca="false">IFERROR(IF(AND(VLOOKUP($B41,Ref_Acuerdos!$A:$E,2,FALSE())="PTA",$A41&gt;=VLOOKUP($B41,Ref_Acuerdos!$A:$E,3,FALSE())),1,0),0)</f>
        <v>0</v>
      </c>
      <c r="J41" s="7" t="str">
        <f aca="false">IFERROR(IF($A41&gt;=VLOOKUP($B41,Ref_Acuerdos!$A:$E,3,FALSE()),VLOOKUP($B41,Ref_Acuerdos!$A:$E,4,FALSE()),""),"")</f>
        <v/>
      </c>
      <c r="K41" s="4" t="str">
        <f aca="false">IFERROR(IF($A41&gt;=VLOOKUP($B41,Ref_Acuerdos!$A:$E,3,FALSE()),VLOOKUP($B41,Ref_Acuerdos!$A:$E,5,FALSE()),"Sin FTA/PTA vigente ese año - arancel NMF"),"Sin FTA/PTA identificado - arancel NMF")</f>
        <v>Sin FTA/PTA vigente ese año - arancel NMF</v>
      </c>
    </row>
    <row r="42" customFormat="false" ht="15" hidden="false" customHeight="false" outlineLevel="0" collapsed="false">
      <c r="A42" s="2" t="n">
        <v>2009</v>
      </c>
      <c r="B42" s="2" t="s">
        <v>118</v>
      </c>
      <c r="C42" s="4" t="str">
        <f aca="false">IFERROR(VLOOKUP($B42,Ref_Continente!$A:$B,2,FALSE()),"Sin clasificar")</f>
        <v>South America</v>
      </c>
      <c r="D42" s="5" t="n">
        <v>11311</v>
      </c>
      <c r="E42" s="6" t="n">
        <v>2701</v>
      </c>
      <c r="F42" s="6" t="n">
        <v>4650</v>
      </c>
      <c r="G42" s="5" t="n">
        <v>32708319077.52</v>
      </c>
      <c r="H42" s="4" t="n">
        <f aca="false">IFERROR(IF(AND(VLOOKUP($B42,Ref_Acuerdos!$A:$E,2,FALSE())="FTA",$A42&gt;=VLOOKUP($B42,Ref_Acuerdos!$A:$E,3,FALSE())),1,0),0)</f>
        <v>0</v>
      </c>
      <c r="I42" s="4" t="n">
        <f aca="false">IFERROR(IF(AND(VLOOKUP($B42,Ref_Acuerdos!$A:$E,2,FALSE())="PTA",$A42&gt;=VLOOKUP($B42,Ref_Acuerdos!$A:$E,3,FALSE())),1,0),0)</f>
        <v>1</v>
      </c>
      <c r="J42" s="7" t="n">
        <f aca="false">IFERROR(IF($A42&gt;=VLOOKUP($B42,Ref_Acuerdos!$A:$E,3,FALSE()),VLOOKUP($B42,Ref_Acuerdos!$A:$E,4,FALSE()),""),"")</f>
        <v>5</v>
      </c>
      <c r="K42" s="4" t="str">
        <f aca="false">IFERROR(IF($A42&gt;=VLOOKUP($B42,Ref_Acuerdos!$A:$E,3,FALSE()),VLOOKUP($B42,Ref_Acuerdos!$A:$E,5,FALSE()),"Sin FTA/PTA vigente ese año - arancel NMF"),"Sin FTA/PTA identificado - arancel NMF")</f>
        <v>Ecuador-Mercosur ACE 59 - preferencias parciales (tarifa referencial)</v>
      </c>
    </row>
    <row r="43" customFormat="false" ht="15" hidden="false" customHeight="false" outlineLevel="0" collapsed="false">
      <c r="A43" s="2" t="n">
        <v>2009</v>
      </c>
      <c r="B43" s="2" t="s">
        <v>116</v>
      </c>
      <c r="C43" s="4" t="str">
        <f aca="false">IFERROR(VLOOKUP($B43,Ref_Continente!$A:$B,2,FALSE()),"Sin clasificar")</f>
        <v>Asia</v>
      </c>
      <c r="D43" s="5" t="n">
        <v>9377</v>
      </c>
      <c r="E43" s="6" t="n">
        <v>1668</v>
      </c>
      <c r="F43" s="6" t="n">
        <v>14200</v>
      </c>
      <c r="G43" s="5" t="n">
        <v>253547358747.45</v>
      </c>
      <c r="H43" s="4" t="n">
        <f aca="false">IFERROR(IF(AND(VLOOKUP($B43,Ref_Acuerdos!$A:$E,2,FALSE())="FTA",$A43&gt;=VLOOKUP($B43,Ref_Acuerdos!$A:$E,3,FALSE())),1,0),0)</f>
        <v>0</v>
      </c>
      <c r="I43" s="4" t="n">
        <f aca="false">IFERROR(IF(AND(VLOOKUP($B43,Ref_Acuerdos!$A:$E,2,FALSE())="PTA",$A43&gt;=VLOOKUP($B43,Ref_Acuerdos!$A:$E,3,FALSE())),1,0),0)</f>
        <v>0</v>
      </c>
      <c r="J43" s="7" t="str">
        <f aca="false">IFERROR(IF($A43&gt;=VLOOKUP($B43,Ref_Acuerdos!$A:$E,3,FALSE()),VLOOKUP($B43,Ref_Acuerdos!$A:$E,4,FALSE()),""),"")</f>
        <v/>
      </c>
      <c r="K43" s="4" t="str">
        <f aca="false">IFERROR(IF($A43&gt;=VLOOKUP($B43,Ref_Acuerdos!$A:$E,3,FALSE()),VLOOKUP($B43,Ref_Acuerdos!$A:$E,5,FALSE()),"Sin FTA/PTA vigente ese año - arancel NMF"),"Sin FTA/PTA identificado - arancel NMF")</f>
        <v>Sin FTA/PTA identificado - arancel NMF</v>
      </c>
    </row>
    <row r="44" customFormat="false" ht="15" hidden="false" customHeight="false" outlineLevel="0" collapsed="false">
      <c r="A44" s="2" t="n">
        <v>2009</v>
      </c>
      <c r="B44" s="2" t="s">
        <v>80</v>
      </c>
      <c r="C44" s="4" t="str">
        <f aca="false">IFERROR(VLOOKUP($B44,Ref_Continente!$A:$B,2,FALSE()),"Sin clasificar")</f>
        <v>North America</v>
      </c>
      <c r="D44" s="5" t="n">
        <v>8653</v>
      </c>
      <c r="E44" s="6" t="n">
        <v>1632</v>
      </c>
      <c r="F44" s="6" t="n">
        <v>1730</v>
      </c>
      <c r="G44" s="5" t="n">
        <v>8298702489.08</v>
      </c>
      <c r="H44" s="4" t="n">
        <f aca="false">IFERROR(IF(AND(VLOOKUP($B44,Ref_Acuerdos!$A:$E,2,FALSE())="FTA",$A44&gt;=VLOOKUP($B44,Ref_Acuerdos!$A:$E,3,FALSE())),1,0),0)</f>
        <v>0</v>
      </c>
      <c r="I44" s="4" t="n">
        <f aca="false">IFERROR(IF(AND(VLOOKUP($B44,Ref_Acuerdos!$A:$E,2,FALSE())="PTA",$A44&gt;=VLOOKUP($B44,Ref_Acuerdos!$A:$E,3,FALSE())),1,0),0)</f>
        <v>1</v>
      </c>
      <c r="J44" s="7" t="n">
        <f aca="false">IFERROR(IF($A44&gt;=VLOOKUP($B44,Ref_Acuerdos!$A:$E,3,FALSE()),VLOOKUP($B44,Ref_Acuerdos!$A:$E,4,FALSE()),""),"")</f>
        <v>10</v>
      </c>
      <c r="K44" s="4" t="str">
        <f aca="false">IFERROR(IF($A44&gt;=VLOOKUP($B44,Ref_Acuerdos!$A:$E,3,FALSE()),VLOOKUP($B44,Ref_Acuerdos!$A:$E,5,FALSE()),"Sin FTA/PTA vigente ese año - arancel NMF"),"Sin FTA/PTA identificado - arancel NMF")</f>
        <v>ALADI - Acuerdo de Alcance Parcial (preferencia limitada, tarifa referencial)</v>
      </c>
    </row>
    <row r="45" customFormat="false" ht="15" hidden="false" customHeight="false" outlineLevel="0" collapsed="false">
      <c r="A45" s="2" t="n">
        <v>2009</v>
      </c>
      <c r="B45" s="2" t="s">
        <v>100</v>
      </c>
      <c r="C45" s="4" t="str">
        <f aca="false">IFERROR(VLOOKUP($B45,Ref_Continente!$A:$B,2,FALSE()),"Sin clasificar")</f>
        <v>Asia</v>
      </c>
      <c r="D45" s="5" t="n">
        <v>7644</v>
      </c>
      <c r="E45" s="6" t="n">
        <v>2128</v>
      </c>
      <c r="F45" s="6" t="n">
        <v>13800</v>
      </c>
      <c r="G45" s="5" t="n">
        <v>429097866666.67</v>
      </c>
      <c r="H45" s="4" t="n">
        <f aca="false">IFERROR(IF(AND(VLOOKUP($B45,Ref_Acuerdos!$A:$E,2,FALSE())="FTA",$A45&gt;=VLOOKUP($B45,Ref_Acuerdos!$A:$E,3,FALSE())),1,0),0)</f>
        <v>0</v>
      </c>
      <c r="I45" s="4" t="n">
        <f aca="false">IFERROR(IF(AND(VLOOKUP($B45,Ref_Acuerdos!$A:$E,2,FALSE())="PTA",$A45&gt;=VLOOKUP($B45,Ref_Acuerdos!$A:$E,3,FALSE())),1,0),0)</f>
        <v>0</v>
      </c>
      <c r="J45" s="7" t="str">
        <f aca="false">IFERROR(IF($A45&gt;=VLOOKUP($B45,Ref_Acuerdos!$A:$E,3,FALSE()),VLOOKUP($B45,Ref_Acuerdos!$A:$E,4,FALSE()),""),"")</f>
        <v/>
      </c>
      <c r="K45" s="4" t="str">
        <f aca="false">IFERROR(IF($A45&gt;=VLOOKUP($B45,Ref_Acuerdos!$A:$E,3,FALSE()),VLOOKUP($B45,Ref_Acuerdos!$A:$E,5,FALSE()),"Sin FTA/PTA vigente ese año - arancel NMF"),"Sin FTA/PTA identificado - arancel NMF")</f>
        <v>Sin FTA/PTA identificado - arancel NMF</v>
      </c>
    </row>
    <row r="46" customFormat="false" ht="15" hidden="false" customHeight="false" outlineLevel="0" collapsed="false">
      <c r="A46" s="2" t="n">
        <v>2009</v>
      </c>
      <c r="B46" s="2" t="s">
        <v>19</v>
      </c>
      <c r="C46" s="4" t="str">
        <f aca="false">IFERROR(VLOOKUP($B46,Ref_Continente!$A:$B,2,FALSE()),"Sin clasificar")</f>
        <v>Europe</v>
      </c>
      <c r="D46" s="5" t="n">
        <v>7407</v>
      </c>
      <c r="E46" s="6" t="n">
        <v>2168</v>
      </c>
      <c r="F46" s="6" t="n">
        <v>10600</v>
      </c>
      <c r="G46" s="5" t="n">
        <v>50873167326.04</v>
      </c>
      <c r="H46" s="4" t="n">
        <f aca="false">IFERROR(IF(AND(VLOOKUP($B46,Ref_Acuerdos!$A:$E,2,FALSE())="FTA",$A46&gt;=VLOOKUP($B46,Ref_Acuerdos!$A:$E,3,FALSE())),1,0),0)</f>
        <v>0</v>
      </c>
      <c r="I46" s="4" t="n">
        <f aca="false">IFERROR(IF(AND(VLOOKUP($B46,Ref_Acuerdos!$A:$E,2,FALSE())="PTA",$A46&gt;=VLOOKUP($B46,Ref_Acuerdos!$A:$E,3,FALSE())),1,0),0)</f>
        <v>0</v>
      </c>
      <c r="J46" s="7" t="str">
        <f aca="false">IFERROR(IF($A46&gt;=VLOOKUP($B46,Ref_Acuerdos!$A:$E,3,FALSE()),VLOOKUP($B46,Ref_Acuerdos!$A:$E,4,FALSE()),""),"")</f>
        <v/>
      </c>
      <c r="K46" s="4" t="str">
        <f aca="false">IFERROR(IF($A46&gt;=VLOOKUP($B46,Ref_Acuerdos!$A:$E,3,FALSE()),VLOOKUP($B46,Ref_Acuerdos!$A:$E,5,FALSE()),"Sin FTA/PTA vigente ese año - arancel NMF"),"Sin FTA/PTA identificado - arancel NMF")</f>
        <v>Sin FTA/PTA identificado - arancel NMF</v>
      </c>
    </row>
    <row r="47" customFormat="false" ht="15" hidden="false" customHeight="false" outlineLevel="0" collapsed="false">
      <c r="A47" s="2" t="n">
        <v>2009</v>
      </c>
      <c r="B47" s="2" t="s">
        <v>92</v>
      </c>
      <c r="C47" s="4" t="str">
        <f aca="false">IFERROR(VLOOKUP($B47,Ref_Continente!$A:$B,2,FALSE()),"Sin clasificar")</f>
        <v>Asia</v>
      </c>
      <c r="D47" s="5" t="n">
        <v>5164</v>
      </c>
      <c r="E47" s="6" t="n">
        <v>1075</v>
      </c>
      <c r="F47" s="6" t="n">
        <v>14000</v>
      </c>
      <c r="G47" s="5" t="n">
        <v>97798351648.35</v>
      </c>
      <c r="H47" s="4" t="n">
        <f aca="false">IFERROR(IF(AND(VLOOKUP($B47,Ref_Acuerdos!$A:$E,2,FALSE())="FTA",$A47&gt;=VLOOKUP($B47,Ref_Acuerdos!$A:$E,3,FALSE())),1,0),0)</f>
        <v>0</v>
      </c>
      <c r="I47" s="4" t="n">
        <f aca="false">IFERROR(IF(AND(VLOOKUP($B47,Ref_Acuerdos!$A:$E,2,FALSE())="PTA",$A47&gt;=VLOOKUP($B47,Ref_Acuerdos!$A:$E,3,FALSE())),1,0),0)</f>
        <v>0</v>
      </c>
      <c r="J47" s="7" t="str">
        <f aca="false">IFERROR(IF($A47&gt;=VLOOKUP($B47,Ref_Acuerdos!$A:$E,3,FALSE()),VLOOKUP($B47,Ref_Acuerdos!$A:$E,4,FALSE()),""),"")</f>
        <v/>
      </c>
      <c r="K47" s="4" t="str">
        <f aca="false">IFERROR(IF($A47&gt;=VLOOKUP($B47,Ref_Acuerdos!$A:$E,3,FALSE()),VLOOKUP($B47,Ref_Acuerdos!$A:$E,5,FALSE()),"Sin FTA/PTA vigente ese año - arancel NMF"),"Sin FTA/PTA identificado - arancel NMF")</f>
        <v>Sin FTA/PTA identificado - arancel NMF</v>
      </c>
    </row>
    <row r="48" customFormat="false" ht="15" hidden="false" customHeight="false" outlineLevel="0" collapsed="false">
      <c r="A48" s="2" t="n">
        <v>2009</v>
      </c>
      <c r="B48" s="2" t="s">
        <v>23</v>
      </c>
      <c r="C48" s="4" t="str">
        <f aca="false">IFERROR(VLOOKUP($B48,Ref_Continente!$A:$B,2,FALSE()),"Sin clasificar")</f>
        <v>South America</v>
      </c>
      <c r="D48" s="5" t="n">
        <v>4668</v>
      </c>
      <c r="E48" s="6" t="n">
        <v>1384</v>
      </c>
      <c r="F48" s="6" t="n">
        <v>4330</v>
      </c>
      <c r="G48" s="5" t="n">
        <v>1666996294252.12</v>
      </c>
      <c r="H48" s="4" t="n">
        <f aca="false">IFERROR(IF(AND(VLOOKUP($B48,Ref_Acuerdos!$A:$E,2,FALSE())="FTA",$A48&gt;=VLOOKUP($B48,Ref_Acuerdos!$A:$E,3,FALSE())),1,0),0)</f>
        <v>0</v>
      </c>
      <c r="I48" s="4" t="n">
        <f aca="false">IFERROR(IF(AND(VLOOKUP($B48,Ref_Acuerdos!$A:$E,2,FALSE())="PTA",$A48&gt;=VLOOKUP($B48,Ref_Acuerdos!$A:$E,3,FALSE())),1,0),0)</f>
        <v>1</v>
      </c>
      <c r="J48" s="7" t="n">
        <f aca="false">IFERROR(IF($A48&gt;=VLOOKUP($B48,Ref_Acuerdos!$A:$E,3,FALSE()),VLOOKUP($B48,Ref_Acuerdos!$A:$E,4,FALSE()),""),"")</f>
        <v>5</v>
      </c>
      <c r="K48" s="4" t="str">
        <f aca="false">IFERROR(IF($A48&gt;=VLOOKUP($B48,Ref_Acuerdos!$A:$E,3,FALSE()),VLOOKUP($B48,Ref_Acuerdos!$A:$E,5,FALSE()),"Sin FTA/PTA vigente ese año - arancel NMF"),"Sin FTA/PTA identificado - arancel NMF")</f>
        <v>Ecuador-Mercosur ACE 59 - preferencias parciales (tarifa referencial)</v>
      </c>
    </row>
    <row r="49" customFormat="false" ht="15" hidden="false" customHeight="false" outlineLevel="0" collapsed="false">
      <c r="A49" s="2" t="n">
        <v>2009</v>
      </c>
      <c r="B49" s="2" t="s">
        <v>6</v>
      </c>
      <c r="C49" s="4" t="str">
        <f aca="false">IFERROR(VLOOKUP($B49,Ref_Continente!$A:$B,2,FALSE()),"Sin clasificar")</f>
        <v>South America</v>
      </c>
      <c r="D49" s="5" t="n">
        <v>4459</v>
      </c>
      <c r="E49" s="6" t="n">
        <v>1418</v>
      </c>
      <c r="F49" s="6" t="n">
        <v>4320</v>
      </c>
      <c r="G49" s="5" t="n">
        <v>332976484577.62</v>
      </c>
      <c r="H49" s="4" t="n">
        <f aca="false">IFERROR(IF(AND(VLOOKUP($B49,Ref_Acuerdos!$A:$E,2,FALSE())="FTA",$A49&gt;=VLOOKUP($B49,Ref_Acuerdos!$A:$E,3,FALSE())),1,0),0)</f>
        <v>0</v>
      </c>
      <c r="I49" s="4" t="n">
        <f aca="false">IFERROR(IF(AND(VLOOKUP($B49,Ref_Acuerdos!$A:$E,2,FALSE())="PTA",$A49&gt;=VLOOKUP($B49,Ref_Acuerdos!$A:$E,3,FALSE())),1,0),0)</f>
        <v>1</v>
      </c>
      <c r="J49" s="7" t="n">
        <f aca="false">IFERROR(IF($A49&gt;=VLOOKUP($B49,Ref_Acuerdos!$A:$E,3,FALSE()),VLOOKUP($B49,Ref_Acuerdos!$A:$E,4,FALSE()),""),"")</f>
        <v>5</v>
      </c>
      <c r="K49" s="4" t="str">
        <f aca="false">IFERROR(IF($A49&gt;=VLOOKUP($B49,Ref_Acuerdos!$A:$E,3,FALSE()),VLOOKUP($B49,Ref_Acuerdos!$A:$E,5,FALSE()),"Sin FTA/PTA vigente ese año - arancel NMF"),"Sin FTA/PTA identificado - arancel NMF")</f>
        <v>Ecuador-Mercosur ACE 59 - preferencias parciales (tarifa referencial)</v>
      </c>
    </row>
    <row r="50" customFormat="false" ht="15" hidden="false" customHeight="false" outlineLevel="0" collapsed="false">
      <c r="A50" s="2" t="n">
        <v>2009</v>
      </c>
      <c r="B50" s="2" t="s">
        <v>108</v>
      </c>
      <c r="C50" s="4" t="str">
        <f aca="false">IFERROR(VLOOKUP($B50,Ref_Continente!$A:$B,2,FALSE()),"Sin clasificar")</f>
        <v>Europe</v>
      </c>
      <c r="D50" s="5" t="n">
        <v>3350</v>
      </c>
      <c r="E50" s="6" t="n">
        <v>213</v>
      </c>
      <c r="F50" s="6" t="n">
        <v>9800</v>
      </c>
      <c r="G50" s="5" t="n">
        <v>554212916092.27</v>
      </c>
      <c r="H50" s="4" t="n">
        <f aca="false">IFERROR(IF(AND(VLOOKUP($B50,Ref_Acuerdos!$A:$E,2,FALSE())="FTA",$A50&gt;=VLOOKUP($B50,Ref_Acuerdos!$A:$E,3,FALSE())),1,0),0)</f>
        <v>0</v>
      </c>
      <c r="I50" s="4" t="n">
        <f aca="false">IFERROR(IF(AND(VLOOKUP($B50,Ref_Acuerdos!$A:$E,2,FALSE())="PTA",$A50&gt;=VLOOKUP($B50,Ref_Acuerdos!$A:$E,3,FALSE())),1,0),0)</f>
        <v>0</v>
      </c>
      <c r="J50" s="7" t="str">
        <f aca="false">IFERROR(IF($A50&gt;=VLOOKUP($B50,Ref_Acuerdos!$A:$E,3,FALSE()),VLOOKUP($B50,Ref_Acuerdos!$A:$E,4,FALSE()),""),"")</f>
        <v/>
      </c>
      <c r="K50" s="4" t="str">
        <f aca="false">IFERROR(IF($A50&gt;=VLOOKUP($B50,Ref_Acuerdos!$A:$E,3,FALSE()),VLOOKUP($B50,Ref_Acuerdos!$A:$E,5,FALSE()),"Sin FTA/PTA vigente ese año - arancel NMF"),"Sin FTA/PTA identificado - arancel NMF")</f>
        <v>Sin FTA/PTA vigente ese año - arancel NMF</v>
      </c>
    </row>
    <row r="51" customFormat="false" ht="15" hidden="false" customHeight="false" outlineLevel="0" collapsed="false">
      <c r="A51" s="2" t="n">
        <v>2009</v>
      </c>
      <c r="B51" s="2" t="s">
        <v>94</v>
      </c>
      <c r="C51" s="4" t="str">
        <f aca="false">IFERROR(VLOOKUP($B51,Ref_Continente!$A:$B,2,FALSE()),"Sin clasificar")</f>
        <v>Europe</v>
      </c>
      <c r="D51" s="5" t="n">
        <v>2911</v>
      </c>
      <c r="E51" s="6" t="n">
        <v>341</v>
      </c>
      <c r="F51" s="6" t="n">
        <v>11000</v>
      </c>
      <c r="G51" s="5" t="n">
        <v>5439434271.79</v>
      </c>
      <c r="H51" s="4" t="n">
        <f aca="false">IFERROR(IF(AND(VLOOKUP($B51,Ref_Acuerdos!$A:$E,2,FALSE())="FTA",$A51&gt;=VLOOKUP($B51,Ref_Acuerdos!$A:$E,3,FALSE())),1,0),0)</f>
        <v>0</v>
      </c>
      <c r="I51" s="4" t="n">
        <f aca="false">IFERROR(IF(AND(VLOOKUP($B51,Ref_Acuerdos!$A:$E,2,FALSE())="PTA",$A51&gt;=VLOOKUP($B51,Ref_Acuerdos!$A:$E,3,FALSE())),1,0),0)</f>
        <v>0</v>
      </c>
      <c r="J51" s="7" t="str">
        <f aca="false">IFERROR(IF($A51&gt;=VLOOKUP($B51,Ref_Acuerdos!$A:$E,3,FALSE()),VLOOKUP($B51,Ref_Acuerdos!$A:$E,4,FALSE()),""),"")</f>
        <v/>
      </c>
      <c r="K51" s="4" t="str">
        <f aca="false">IFERROR(IF($A51&gt;=VLOOKUP($B51,Ref_Acuerdos!$A:$E,3,FALSE()),VLOOKUP($B51,Ref_Acuerdos!$A:$E,5,FALSE()),"Sin FTA/PTA vigente ese año - arancel NMF"),"Sin FTA/PTA identificado - arancel NMF")</f>
        <v>Sin FTA/PTA identificado - arancel NMF</v>
      </c>
    </row>
    <row r="52" customFormat="false" ht="15" hidden="false" customHeight="false" outlineLevel="0" collapsed="false">
      <c r="A52" s="2" t="n">
        <v>2009</v>
      </c>
      <c r="B52" s="2" t="s">
        <v>37</v>
      </c>
      <c r="C52" s="4" t="str">
        <f aca="false">IFERROR(VLOOKUP($B52,Ref_Continente!$A:$B,2,FALSE()),"Sin clasificar")</f>
        <v>North America</v>
      </c>
      <c r="D52" s="5" t="n">
        <v>2854</v>
      </c>
      <c r="E52" s="6" t="n">
        <v>691</v>
      </c>
      <c r="F52" s="6" t="n">
        <v>2200</v>
      </c>
      <c r="G52" s="5" t="n">
        <v>48223781476.89</v>
      </c>
      <c r="H52" s="4" t="n">
        <f aca="false">IFERROR(IF(AND(VLOOKUP($B52,Ref_Acuerdos!$A:$E,2,FALSE())="FTA",$A52&gt;=VLOOKUP($B52,Ref_Acuerdos!$A:$E,3,FALSE())),1,0),0)</f>
        <v>0</v>
      </c>
      <c r="I52" s="4" t="n">
        <f aca="false">IFERROR(IF(AND(VLOOKUP($B52,Ref_Acuerdos!$A:$E,2,FALSE())="PTA",$A52&gt;=VLOOKUP($B52,Ref_Acuerdos!$A:$E,3,FALSE())),1,0),0)</f>
        <v>0</v>
      </c>
      <c r="J52" s="7" t="str">
        <f aca="false">IFERROR(IF($A52&gt;=VLOOKUP($B52,Ref_Acuerdos!$A:$E,3,FALSE()),VLOOKUP($B52,Ref_Acuerdos!$A:$E,4,FALSE()),""),"")</f>
        <v/>
      </c>
      <c r="K52" s="4" t="str">
        <f aca="false">IFERROR(IF($A52&gt;=VLOOKUP($B52,Ref_Acuerdos!$A:$E,3,FALSE()),VLOOKUP($B52,Ref_Acuerdos!$A:$E,5,FALSE()),"Sin FTA/PTA vigente ese año - arancel NMF"),"Sin FTA/PTA identificado - arancel NMF")</f>
        <v>Sin FTA/PTA identificado - arancel NMF</v>
      </c>
    </row>
    <row r="53" customFormat="false" ht="15" hidden="false" customHeight="false" outlineLevel="0" collapsed="false">
      <c r="A53" s="2" t="n">
        <v>2009</v>
      </c>
      <c r="B53" s="2" t="s">
        <v>90</v>
      </c>
      <c r="C53" s="4" t="str">
        <f aca="false">IFERROR(VLOOKUP($B53,Ref_Continente!$A:$B,2,FALSE()),"Sin clasificar")</f>
        <v>Europe</v>
      </c>
      <c r="D53" s="5" t="n">
        <v>2495</v>
      </c>
      <c r="E53" s="6" t="n">
        <v>435</v>
      </c>
      <c r="F53" s="6" t="n">
        <v>10300</v>
      </c>
      <c r="G53" s="5" t="n">
        <v>440891472247.1</v>
      </c>
      <c r="H53" s="4" t="n">
        <f aca="false">IFERROR(IF(AND(VLOOKUP($B53,Ref_Acuerdos!$A:$E,2,FALSE())="FTA",$A53&gt;=VLOOKUP($B53,Ref_Acuerdos!$A:$E,3,FALSE())),1,0),0)</f>
        <v>0</v>
      </c>
      <c r="I53" s="4" t="n">
        <f aca="false">IFERROR(IF(AND(VLOOKUP($B53,Ref_Acuerdos!$A:$E,2,FALSE())="PTA",$A53&gt;=VLOOKUP($B53,Ref_Acuerdos!$A:$E,3,FALSE())),1,0),0)</f>
        <v>0</v>
      </c>
      <c r="J53" s="7" t="str">
        <f aca="false">IFERROR(IF($A53&gt;=VLOOKUP($B53,Ref_Acuerdos!$A:$E,3,FALSE()),VLOOKUP($B53,Ref_Acuerdos!$A:$E,4,FALSE()),""),"")</f>
        <v/>
      </c>
      <c r="K53" s="4" t="str">
        <f aca="false">IFERROR(IF($A53&gt;=VLOOKUP($B53,Ref_Acuerdos!$A:$E,3,FALSE()),VLOOKUP($B53,Ref_Acuerdos!$A:$E,5,FALSE()),"Sin FTA/PTA vigente ese año - arancel NMF"),"Sin FTA/PTA identificado - arancel NMF")</f>
        <v>Sin FTA/PTA vigente ese año - arancel NMF</v>
      </c>
    </row>
    <row r="54" customFormat="false" ht="15" hidden="false" customHeight="false" outlineLevel="0" collapsed="false">
      <c r="A54" s="2" t="n">
        <v>2009</v>
      </c>
      <c r="B54" s="2" t="s">
        <v>14</v>
      </c>
      <c r="C54" s="4" t="str">
        <f aca="false">IFERROR(VLOOKUP($B54,Ref_Continente!$A:$B,2,FALSE()),"Sin clasificar")</f>
        <v>Europe</v>
      </c>
      <c r="D54" s="5" t="n">
        <v>1691</v>
      </c>
      <c r="E54" s="6" t="n">
        <v>342</v>
      </c>
      <c r="F54" s="6" t="n">
        <v>10050</v>
      </c>
      <c r="G54" s="5" t="n">
        <v>399290118782.43</v>
      </c>
      <c r="H54" s="4" t="n">
        <f aca="false">IFERROR(IF(AND(VLOOKUP($B54,Ref_Acuerdos!$A:$E,2,FALSE())="FTA",$A54&gt;=VLOOKUP($B54,Ref_Acuerdos!$A:$E,3,FALSE())),1,0),0)</f>
        <v>0</v>
      </c>
      <c r="I54" s="4" t="n">
        <f aca="false">IFERROR(IF(AND(VLOOKUP($B54,Ref_Acuerdos!$A:$E,2,FALSE())="PTA",$A54&gt;=VLOOKUP($B54,Ref_Acuerdos!$A:$E,3,FALSE())),1,0),0)</f>
        <v>0</v>
      </c>
      <c r="J54" s="7" t="str">
        <f aca="false">IFERROR(IF($A54&gt;=VLOOKUP($B54,Ref_Acuerdos!$A:$E,3,FALSE()),VLOOKUP($B54,Ref_Acuerdos!$A:$E,4,FALSE()),""),"")</f>
        <v/>
      </c>
      <c r="K54" s="4" t="str">
        <f aca="false">IFERROR(IF($A54&gt;=VLOOKUP($B54,Ref_Acuerdos!$A:$E,3,FALSE()),VLOOKUP($B54,Ref_Acuerdos!$A:$E,5,FALSE()),"Sin FTA/PTA vigente ese año - arancel NMF"),"Sin FTA/PTA identificado - arancel NMF")</f>
        <v>Sin FTA/PTA vigente ese año - arancel NMF</v>
      </c>
    </row>
    <row r="55" customFormat="false" ht="15" hidden="false" customHeight="false" outlineLevel="0" collapsed="false">
      <c r="A55" s="2" t="n">
        <v>2009</v>
      </c>
      <c r="B55" s="2" t="s">
        <v>18</v>
      </c>
      <c r="C55" s="4" t="str">
        <f aca="false">IFERROR(VLOOKUP($B55,Ref_Continente!$A:$B,2,FALSE()),"Sin clasificar")</f>
        <v>Asia</v>
      </c>
      <c r="D55" s="5" t="n">
        <v>1476</v>
      </c>
      <c r="E55" s="6" t="n">
        <v>394</v>
      </c>
      <c r="F55" s="6" t="n">
        <v>13800</v>
      </c>
      <c r="G55" s="5" t="n">
        <v>22938218085.11</v>
      </c>
      <c r="H55" s="4" t="n">
        <f aca="false">IFERROR(IF(AND(VLOOKUP($B55,Ref_Acuerdos!$A:$E,2,FALSE())="FTA",$A55&gt;=VLOOKUP($B55,Ref_Acuerdos!$A:$E,3,FALSE())),1,0),0)</f>
        <v>0</v>
      </c>
      <c r="I55" s="4" t="n">
        <f aca="false">IFERROR(IF(AND(VLOOKUP($B55,Ref_Acuerdos!$A:$E,2,FALSE())="PTA",$A55&gt;=VLOOKUP($B55,Ref_Acuerdos!$A:$E,3,FALSE())),1,0),0)</f>
        <v>0</v>
      </c>
      <c r="J55" s="7" t="str">
        <f aca="false">IFERROR(IF($A55&gt;=VLOOKUP($B55,Ref_Acuerdos!$A:$E,3,FALSE()),VLOOKUP($B55,Ref_Acuerdos!$A:$E,4,FALSE()),""),"")</f>
        <v/>
      </c>
      <c r="K55" s="4" t="str">
        <f aca="false">IFERROR(IF($A55&gt;=VLOOKUP($B55,Ref_Acuerdos!$A:$E,3,FALSE()),VLOOKUP($B55,Ref_Acuerdos!$A:$E,5,FALSE()),"Sin FTA/PTA vigente ese año - arancel NMF"),"Sin FTA/PTA identificado - arancel NMF")</f>
        <v>Sin FTA/PTA identificado - arancel NMF</v>
      </c>
    </row>
    <row r="56" customFormat="false" ht="15" hidden="false" customHeight="false" outlineLevel="0" collapsed="false">
      <c r="A56" s="2" t="n">
        <v>2009</v>
      </c>
      <c r="B56" s="2" t="s">
        <v>39</v>
      </c>
      <c r="C56" s="4" t="str">
        <f aca="false">IFERROR(VLOOKUP($B56,Ref_Continente!$A:$B,2,FALSE()),"Sin clasificar")</f>
        <v>North America</v>
      </c>
      <c r="D56" s="5" t="n">
        <v>1210</v>
      </c>
      <c r="E56" s="6" t="n">
        <v>42</v>
      </c>
      <c r="F56" s="6" t="n">
        <v>2000</v>
      </c>
      <c r="G56" s="5" t="n">
        <v>17601620000</v>
      </c>
      <c r="H56" s="4" t="n">
        <f aca="false">IFERROR(IF(AND(VLOOKUP($B56,Ref_Acuerdos!$A:$E,2,FALSE())="FTA",$A56&gt;=VLOOKUP($B56,Ref_Acuerdos!$A:$E,3,FALSE())),1,0),0)</f>
        <v>0</v>
      </c>
      <c r="I56" s="4" t="n">
        <f aca="false">IFERROR(IF(AND(VLOOKUP($B56,Ref_Acuerdos!$A:$E,2,FALSE())="PTA",$A56&gt;=VLOOKUP($B56,Ref_Acuerdos!$A:$E,3,FALSE())),1,0),0)</f>
        <v>0</v>
      </c>
      <c r="J56" s="7" t="str">
        <f aca="false">IFERROR(IF($A56&gt;=VLOOKUP($B56,Ref_Acuerdos!$A:$E,3,FALSE()),VLOOKUP($B56,Ref_Acuerdos!$A:$E,4,FALSE()),""),"")</f>
        <v/>
      </c>
      <c r="K56" s="4" t="str">
        <f aca="false">IFERROR(IF($A56&gt;=VLOOKUP($B56,Ref_Acuerdos!$A:$E,3,FALSE()),VLOOKUP($B56,Ref_Acuerdos!$A:$E,5,FALSE()),"Sin FTA/PTA vigente ese año - arancel NMF"),"Sin FTA/PTA identificado - arancel NMF")</f>
        <v>Sin FTA/PTA identificado - arancel NMF</v>
      </c>
    </row>
    <row r="57" customFormat="false" ht="15" hidden="false" customHeight="false" outlineLevel="0" collapsed="false">
      <c r="A57" s="2" t="n">
        <v>2009</v>
      </c>
      <c r="B57" s="2" t="s">
        <v>64</v>
      </c>
      <c r="C57" s="4" t="str">
        <f aca="false">IFERROR(VLOOKUP($B57,Ref_Continente!$A:$B,2,FALSE()),"Sin clasificar")</f>
        <v>Asia</v>
      </c>
      <c r="D57" s="5" t="n">
        <v>967</v>
      </c>
      <c r="E57" s="6" t="n">
        <v>239</v>
      </c>
      <c r="F57" s="6" t="n">
        <v>13500</v>
      </c>
      <c r="G57" s="5" t="n">
        <v>105968691905.42</v>
      </c>
      <c r="H57" s="4" t="n">
        <f aca="false">IFERROR(IF(AND(VLOOKUP($B57,Ref_Acuerdos!$A:$E,2,FALSE())="FTA",$A57&gt;=VLOOKUP($B57,Ref_Acuerdos!$A:$E,3,FALSE())),1,0),0)</f>
        <v>0</v>
      </c>
      <c r="I57" s="4" t="n">
        <f aca="false">IFERROR(IF(AND(VLOOKUP($B57,Ref_Acuerdos!$A:$E,2,FALSE())="PTA",$A57&gt;=VLOOKUP($B57,Ref_Acuerdos!$A:$E,3,FALSE())),1,0),0)</f>
        <v>0</v>
      </c>
      <c r="J57" s="7" t="str">
        <f aca="false">IFERROR(IF($A57&gt;=VLOOKUP($B57,Ref_Acuerdos!$A:$E,3,FALSE()),VLOOKUP($B57,Ref_Acuerdos!$A:$E,4,FALSE()),""),"")</f>
        <v/>
      </c>
      <c r="K57" s="4" t="str">
        <f aca="false">IFERROR(IF($A57&gt;=VLOOKUP($B57,Ref_Acuerdos!$A:$E,3,FALSE()),VLOOKUP($B57,Ref_Acuerdos!$A:$E,5,FALSE()),"Sin FTA/PTA vigente ese año - arancel NMF"),"Sin FTA/PTA identificado - arancel NMF")</f>
        <v>Sin FTA/PTA identificado - arancel NMF</v>
      </c>
    </row>
    <row r="58" customFormat="false" ht="15" hidden="false" customHeight="false" outlineLevel="0" collapsed="false">
      <c r="A58" s="2" t="n">
        <v>2009</v>
      </c>
      <c r="B58" s="2" t="s">
        <v>47</v>
      </c>
      <c r="C58" s="4" t="str">
        <f aca="false">IFERROR(VLOOKUP($B58,Ref_Continente!$A:$B,2,FALSE()),"Sin clasificar")</f>
        <v>Oceania</v>
      </c>
      <c r="D58" s="5" t="n">
        <v>725</v>
      </c>
      <c r="E58" s="6" t="n">
        <v>167</v>
      </c>
      <c r="F58" s="6" t="n">
        <v>14200</v>
      </c>
      <c r="G58" s="5" t="n">
        <v>4828000000</v>
      </c>
      <c r="H58" s="4" t="n">
        <f aca="false">IFERROR(IF(AND(VLOOKUP($B58,Ref_Acuerdos!$A:$E,2,FALSE())="FTA",$A58&gt;=VLOOKUP($B58,Ref_Acuerdos!$A:$E,3,FALSE())),1,0),0)</f>
        <v>0</v>
      </c>
      <c r="I58" s="4" t="n">
        <f aca="false">IFERROR(IF(AND(VLOOKUP($B58,Ref_Acuerdos!$A:$E,2,FALSE())="PTA",$A58&gt;=VLOOKUP($B58,Ref_Acuerdos!$A:$E,3,FALSE())),1,0),0)</f>
        <v>0</v>
      </c>
      <c r="J58" s="7" t="str">
        <f aca="false">IFERROR(IF($A58&gt;=VLOOKUP($B58,Ref_Acuerdos!$A:$E,3,FALSE()),VLOOKUP($B58,Ref_Acuerdos!$A:$E,4,FALSE()),""),"")</f>
        <v/>
      </c>
      <c r="K58" s="4" t="str">
        <f aca="false">IFERROR(IF($A58&gt;=VLOOKUP($B58,Ref_Acuerdos!$A:$E,3,FALSE()),VLOOKUP($B58,Ref_Acuerdos!$A:$E,5,FALSE()),"Sin FTA/PTA vigente ese año - arancel NMF"),"Sin FTA/PTA identificado - arancel NMF")</f>
        <v>Sin FTA/PTA identificado - arancel NMF</v>
      </c>
    </row>
    <row r="59" customFormat="false" ht="15" hidden="false" customHeight="false" outlineLevel="0" collapsed="false">
      <c r="A59" s="2" t="n">
        <v>2009</v>
      </c>
      <c r="B59" s="2" t="s">
        <v>63</v>
      </c>
      <c r="C59" s="4" t="str">
        <f aca="false">IFERROR(VLOOKUP($B59,Ref_Continente!$A:$B,2,FALSE()),"Sin clasificar")</f>
        <v>Asia</v>
      </c>
      <c r="D59" s="5" t="n">
        <v>637</v>
      </c>
      <c r="E59" s="6" t="n">
        <v>147</v>
      </c>
      <c r="F59" s="6" t="n">
        <v>13600</v>
      </c>
      <c r="G59" s="5" t="n">
        <v>115308686941.38</v>
      </c>
      <c r="H59" s="4" t="n">
        <f aca="false">IFERROR(IF(AND(VLOOKUP($B59,Ref_Acuerdos!$A:$E,2,FALSE())="FTA",$A59&gt;=VLOOKUP($B59,Ref_Acuerdos!$A:$E,3,FALSE())),1,0),0)</f>
        <v>0</v>
      </c>
      <c r="I59" s="4" t="n">
        <f aca="false">IFERROR(IF(AND(VLOOKUP($B59,Ref_Acuerdos!$A:$E,2,FALSE())="PTA",$A59&gt;=VLOOKUP($B59,Ref_Acuerdos!$A:$E,3,FALSE())),1,0),0)</f>
        <v>0</v>
      </c>
      <c r="J59" s="7" t="str">
        <f aca="false">IFERROR(IF($A59&gt;=VLOOKUP($B59,Ref_Acuerdos!$A:$E,3,FALSE()),VLOOKUP($B59,Ref_Acuerdos!$A:$E,4,FALSE()),""),"")</f>
        <v/>
      </c>
      <c r="K59" s="4" t="str">
        <f aca="false">IFERROR(IF($A59&gt;=VLOOKUP($B59,Ref_Acuerdos!$A:$E,3,FALSE()),VLOOKUP($B59,Ref_Acuerdos!$A:$E,5,FALSE()),"Sin FTA/PTA vigente ese año - arancel NMF"),"Sin FTA/PTA identificado - arancel NMF")</f>
        <v>Sin FTA/PTA identificado - arancel NMF</v>
      </c>
    </row>
    <row r="60" customFormat="false" ht="15" hidden="false" customHeight="false" outlineLevel="0" collapsed="false">
      <c r="A60" s="2" t="n">
        <v>2009</v>
      </c>
      <c r="B60" s="2" t="s">
        <v>88</v>
      </c>
      <c r="C60" s="4" t="str">
        <f aca="false">IFERROR(VLOOKUP($B60,Ref_Continente!$A:$B,2,FALSE()),"Sin clasificar")</f>
        <v>South America</v>
      </c>
      <c r="D60" s="5" t="n">
        <v>300</v>
      </c>
      <c r="E60" s="6" t="n">
        <v>279</v>
      </c>
      <c r="F60" s="6" t="n">
        <v>1320</v>
      </c>
      <c r="G60" s="5" t="n">
        <v>120822986521.48</v>
      </c>
      <c r="H60" s="4" t="n">
        <f aca="false">IFERROR(IF(AND(VLOOKUP($B60,Ref_Acuerdos!$A:$E,2,FALSE())="FTA",$A60&gt;=VLOOKUP($B60,Ref_Acuerdos!$A:$E,3,FALSE())),1,0),0)</f>
        <v>0</v>
      </c>
      <c r="I60" s="4" t="n">
        <f aca="false">IFERROR(IF(AND(VLOOKUP($B60,Ref_Acuerdos!$A:$E,2,FALSE())="PTA",$A60&gt;=VLOOKUP($B60,Ref_Acuerdos!$A:$E,3,FALSE())),1,0),0)</f>
        <v>1</v>
      </c>
      <c r="J60" s="7" t="n">
        <f aca="false">IFERROR(IF($A60&gt;=VLOOKUP($B60,Ref_Acuerdos!$A:$E,3,FALSE()),VLOOKUP($B60,Ref_Acuerdos!$A:$E,4,FALSE()),""),"")</f>
        <v>0</v>
      </c>
      <c r="K60" s="4" t="str">
        <f aca="false">IFERROR(IF($A60&gt;=VLOOKUP($B60,Ref_Acuerdos!$A:$E,3,FALSE()),VLOOKUP($B60,Ref_Acuerdos!$A:$E,5,FALSE()),"Sin FTA/PTA vigente ese año - arancel NMF"),"Sin FTA/PTA identificado - arancel NMF")</f>
        <v>Comunidad Andina (CAN) - libre comercio intracomunitario</v>
      </c>
    </row>
    <row r="61" customFormat="false" ht="15" hidden="false" customHeight="false" outlineLevel="0" collapsed="false">
      <c r="A61" s="2" t="n">
        <v>2009</v>
      </c>
      <c r="B61" s="2" t="s">
        <v>34</v>
      </c>
      <c r="C61" s="4" t="str">
        <f aca="false">IFERROR(VLOOKUP($B61,Ref_Continente!$A:$B,2,FALSE()),"Sin clasificar")</f>
        <v>Europe</v>
      </c>
      <c r="D61" s="5" t="n">
        <v>200</v>
      </c>
      <c r="E61" s="6" t="n">
        <v>110</v>
      </c>
      <c r="F61" s="6" t="n">
        <v>11900</v>
      </c>
      <c r="G61" s="5" t="n">
        <v>26048179949.17</v>
      </c>
      <c r="H61" s="4" t="n">
        <f aca="false">IFERROR(IF(AND(VLOOKUP($B61,Ref_Acuerdos!$A:$E,2,FALSE())="FTA",$A61&gt;=VLOOKUP($B61,Ref_Acuerdos!$A:$E,3,FALSE())),1,0),0)</f>
        <v>0</v>
      </c>
      <c r="I61" s="4" t="n">
        <f aca="false">IFERROR(IF(AND(VLOOKUP($B61,Ref_Acuerdos!$A:$E,2,FALSE())="PTA",$A61&gt;=VLOOKUP($B61,Ref_Acuerdos!$A:$E,3,FALSE())),1,0),0)</f>
        <v>0</v>
      </c>
      <c r="J61" s="7" t="str">
        <f aca="false">IFERROR(IF($A61&gt;=VLOOKUP($B61,Ref_Acuerdos!$A:$E,3,FALSE()),VLOOKUP($B61,Ref_Acuerdos!$A:$E,4,FALSE()),""),"")</f>
        <v/>
      </c>
      <c r="K61" s="4" t="str">
        <f aca="false">IFERROR(IF($A61&gt;=VLOOKUP($B61,Ref_Acuerdos!$A:$E,3,FALSE()),VLOOKUP($B61,Ref_Acuerdos!$A:$E,5,FALSE()),"Sin FTA/PTA vigente ese año - arancel NMF"),"Sin FTA/PTA identificado - arancel NMF")</f>
        <v>Sin FTA/PTA vigente ese año - arancel NMF</v>
      </c>
    </row>
    <row r="62" customFormat="false" ht="15" hidden="false" customHeight="false" outlineLevel="0" collapsed="false">
      <c r="A62" s="2" t="n">
        <v>2009</v>
      </c>
      <c r="B62" s="2" t="s">
        <v>31</v>
      </c>
      <c r="C62" s="4" t="str">
        <f aca="false">IFERROR(VLOOKUP($B62,Ref_Continente!$A:$B,2,FALSE()),"Sin clasificar")</f>
        <v>Europe</v>
      </c>
      <c r="D62" s="5" t="n">
        <v>62</v>
      </c>
      <c r="E62" s="6" t="n">
        <v>13</v>
      </c>
      <c r="F62" s="6" t="n">
        <v>10400</v>
      </c>
      <c r="G62" s="5" t="n">
        <v>62315996674.8</v>
      </c>
      <c r="H62" s="4" t="n">
        <f aca="false">IFERROR(IF(AND(VLOOKUP($B62,Ref_Acuerdos!$A:$E,2,FALSE())="FTA",$A62&gt;=VLOOKUP($B62,Ref_Acuerdos!$A:$E,3,FALSE())),1,0),0)</f>
        <v>0</v>
      </c>
      <c r="I62" s="4" t="n">
        <f aca="false">IFERROR(IF(AND(VLOOKUP($B62,Ref_Acuerdos!$A:$E,2,FALSE())="PTA",$A62&gt;=VLOOKUP($B62,Ref_Acuerdos!$A:$E,3,FALSE())),1,0),0)</f>
        <v>0</v>
      </c>
      <c r="J62" s="7" t="str">
        <f aca="false">IFERROR(IF($A62&gt;=VLOOKUP($B62,Ref_Acuerdos!$A:$E,3,FALSE()),VLOOKUP($B62,Ref_Acuerdos!$A:$E,4,FALSE()),""),"")</f>
        <v/>
      </c>
      <c r="K62" s="4" t="str">
        <f aca="false">IFERROR(IF($A62&gt;=VLOOKUP($B62,Ref_Acuerdos!$A:$E,3,FALSE()),VLOOKUP($B62,Ref_Acuerdos!$A:$E,5,FALSE()),"Sin FTA/PTA vigente ese año - arancel NMF"),"Sin FTA/PTA identificado - arancel NMF")</f>
        <v>Sin FTA/PTA vigente ese año - arancel NMF</v>
      </c>
    </row>
    <row r="63" customFormat="false" ht="15" hidden="false" customHeight="false" outlineLevel="0" collapsed="false">
      <c r="A63" s="2" t="n">
        <v>2009</v>
      </c>
      <c r="B63" s="2" t="s">
        <v>71</v>
      </c>
      <c r="C63" s="4" t="str">
        <f aca="false">IFERROR(VLOOKUP($B63,Ref_Continente!$A:$B,2,FALSE()),"Sin clasificar")</f>
        <v>Asia</v>
      </c>
      <c r="D63" s="5" t="n">
        <v>46</v>
      </c>
      <c r="E63" s="6" t="n">
        <v>11</v>
      </c>
      <c r="F63" s="6" t="n">
        <v>17100</v>
      </c>
      <c r="G63" s="5" t="n">
        <v>2345294875</v>
      </c>
      <c r="H63" s="4" t="n">
        <f aca="false">IFERROR(IF(AND(VLOOKUP($B63,Ref_Acuerdos!$A:$E,2,FALSE())="FTA",$A63&gt;=VLOOKUP($B63,Ref_Acuerdos!$A:$E,3,FALSE())),1,0),0)</f>
        <v>0</v>
      </c>
      <c r="I63" s="4" t="n">
        <f aca="false">IFERROR(IF(AND(VLOOKUP($B63,Ref_Acuerdos!$A:$E,2,FALSE())="PTA",$A63&gt;=VLOOKUP($B63,Ref_Acuerdos!$A:$E,3,FALSE())),1,0),0)</f>
        <v>0</v>
      </c>
      <c r="J63" s="7" t="str">
        <f aca="false">IFERROR(IF($A63&gt;=VLOOKUP($B63,Ref_Acuerdos!$A:$E,3,FALSE()),VLOOKUP($B63,Ref_Acuerdos!$A:$E,4,FALSE()),""),"")</f>
        <v/>
      </c>
      <c r="K63" s="4" t="str">
        <f aca="false">IFERROR(IF($A63&gt;=VLOOKUP($B63,Ref_Acuerdos!$A:$E,3,FALSE()),VLOOKUP($B63,Ref_Acuerdos!$A:$E,5,FALSE()),"Sin FTA/PTA vigente ese año - arancel NMF"),"Sin FTA/PTA identificado - arancel NMF")</f>
        <v>Sin FTA/PTA identificado - arancel NMF</v>
      </c>
    </row>
    <row r="64" customFormat="false" ht="15" hidden="false" customHeight="false" outlineLevel="0" collapsed="false">
      <c r="A64" s="2" t="n">
        <v>2010</v>
      </c>
      <c r="B64" s="2" t="s">
        <v>96</v>
      </c>
      <c r="C64" s="4" t="str">
        <f aca="false">IFERROR(VLOOKUP($B64,Ref_Continente!$A:$B,2,FALSE()),"Sin clasificar")</f>
        <v>Europe</v>
      </c>
      <c r="D64" s="5" t="n">
        <v>7069031</v>
      </c>
      <c r="E64" s="6" t="n">
        <v>1736224</v>
      </c>
      <c r="F64" s="6" t="n">
        <v>12000</v>
      </c>
      <c r="G64" s="5" t="n">
        <v>1524916715223.95</v>
      </c>
      <c r="H64" s="4" t="n">
        <f aca="false">IFERROR(IF(AND(VLOOKUP($B64,Ref_Acuerdos!$A:$E,2,FALSE())="FTA",$A64&gt;=VLOOKUP($B64,Ref_Acuerdos!$A:$E,3,FALSE())),1,0),0)</f>
        <v>0</v>
      </c>
      <c r="I64" s="4" t="n">
        <f aca="false">IFERROR(IF(AND(VLOOKUP($B64,Ref_Acuerdos!$A:$E,2,FALSE())="PTA",$A64&gt;=VLOOKUP($B64,Ref_Acuerdos!$A:$E,3,FALSE())),1,0),0)</f>
        <v>0</v>
      </c>
      <c r="J64" s="7" t="str">
        <f aca="false">IFERROR(IF($A64&gt;=VLOOKUP($B64,Ref_Acuerdos!$A:$E,3,FALSE()),VLOOKUP($B64,Ref_Acuerdos!$A:$E,4,FALSE()),""),"")</f>
        <v/>
      </c>
      <c r="K64" s="4" t="str">
        <f aca="false">IFERROR(IF($A64&gt;=VLOOKUP($B64,Ref_Acuerdos!$A:$E,3,FALSE()),VLOOKUP($B64,Ref_Acuerdos!$A:$E,5,FALSE()),"Sin FTA/PTA vigente ese año - arancel NMF"),"Sin FTA/PTA identificado - arancel NMF")</f>
        <v>Sin FTA/PTA identificado - arancel NMF</v>
      </c>
    </row>
    <row r="65" customFormat="false" ht="15" hidden="false" customHeight="false" outlineLevel="0" collapsed="false">
      <c r="A65" s="2" t="n">
        <v>2010</v>
      </c>
      <c r="B65" s="2" t="s">
        <v>114</v>
      </c>
      <c r="C65" s="4" t="str">
        <f aca="false">IFERROR(VLOOKUP($B65,Ref_Continente!$A:$B,2,FALSE()),"Sin clasificar")</f>
        <v>North America</v>
      </c>
      <c r="D65" s="5" t="n">
        <v>4522936</v>
      </c>
      <c r="E65" s="6" t="n">
        <v>734523</v>
      </c>
      <c r="F65" s="6" t="n">
        <v>4550</v>
      </c>
      <c r="G65" s="5" t="n">
        <v>15048964444000</v>
      </c>
      <c r="H65" s="4" t="n">
        <f aca="false">IFERROR(IF(AND(VLOOKUP($B65,Ref_Acuerdos!$A:$E,2,FALSE())="FTA",$A65&gt;=VLOOKUP($B65,Ref_Acuerdos!$A:$E,3,FALSE())),1,0),0)</f>
        <v>0</v>
      </c>
      <c r="I65" s="4" t="n">
        <f aca="false">IFERROR(IF(AND(VLOOKUP($B65,Ref_Acuerdos!$A:$E,2,FALSE())="PTA",$A65&gt;=VLOOKUP($B65,Ref_Acuerdos!$A:$E,3,FALSE())),1,0),0)</f>
        <v>0</v>
      </c>
      <c r="J65" s="7" t="str">
        <f aca="false">IFERROR(IF($A65&gt;=VLOOKUP($B65,Ref_Acuerdos!$A:$E,3,FALSE()),VLOOKUP($B65,Ref_Acuerdos!$A:$E,4,FALSE()),""),"")</f>
        <v/>
      </c>
      <c r="K65" s="4" t="str">
        <f aca="false">IFERROR(IF($A65&gt;=VLOOKUP($B65,Ref_Acuerdos!$A:$E,3,FALSE()),VLOOKUP($B65,Ref_Acuerdos!$A:$E,5,FALSE()),"Sin FTA/PTA vigente ese año - arancel NMF"),"Sin FTA/PTA identificado - arancel NMF")</f>
        <v>Sin FTA/PTA identificado - arancel NMF</v>
      </c>
    </row>
    <row r="66" customFormat="false" ht="15" hidden="false" customHeight="false" outlineLevel="0" collapsed="false">
      <c r="A66" s="2" t="n">
        <v>2010</v>
      </c>
      <c r="B66" s="2" t="s">
        <v>77</v>
      </c>
      <c r="C66" s="4" t="str">
        <f aca="false">IFERROR(VLOOKUP($B66,Ref_Continente!$A:$B,2,FALSE()),"Sin clasificar")</f>
        <v>Europe</v>
      </c>
      <c r="D66" s="5" t="n">
        <v>2321181</v>
      </c>
      <c r="E66" s="6" t="n">
        <v>297602</v>
      </c>
      <c r="F66" s="6" t="n">
        <v>9300</v>
      </c>
      <c r="G66" s="5" t="n">
        <v>852464982433.34</v>
      </c>
      <c r="H66" s="4" t="n">
        <f aca="false">IFERROR(IF(AND(VLOOKUP($B66,Ref_Acuerdos!$A:$E,2,FALSE())="FTA",$A66&gt;=VLOOKUP($B66,Ref_Acuerdos!$A:$E,3,FALSE())),1,0),0)</f>
        <v>0</v>
      </c>
      <c r="I66" s="4" t="n">
        <f aca="false">IFERROR(IF(AND(VLOOKUP($B66,Ref_Acuerdos!$A:$E,2,FALSE())="PTA",$A66&gt;=VLOOKUP($B66,Ref_Acuerdos!$A:$E,3,FALSE())),1,0),0)</f>
        <v>0</v>
      </c>
      <c r="J66" s="7" t="str">
        <f aca="false">IFERROR(IF($A66&gt;=VLOOKUP($B66,Ref_Acuerdos!$A:$E,3,FALSE()),VLOOKUP($B66,Ref_Acuerdos!$A:$E,4,FALSE()),""),"")</f>
        <v/>
      </c>
      <c r="K66" s="4" t="str">
        <f aca="false">IFERROR(IF($A66&gt;=VLOOKUP($B66,Ref_Acuerdos!$A:$E,3,FALSE()),VLOOKUP($B66,Ref_Acuerdos!$A:$E,5,FALSE()),"Sin FTA/PTA vigente ese año - arancel NMF"),"Sin FTA/PTA identificado - arancel NMF")</f>
        <v>Sin FTA/PTA vigente ese año - arancel NMF</v>
      </c>
    </row>
    <row r="67" customFormat="false" ht="15" hidden="false" customHeight="false" outlineLevel="0" collapsed="false">
      <c r="A67" s="2" t="n">
        <v>2010</v>
      </c>
      <c r="B67" s="2" t="s">
        <v>61</v>
      </c>
      <c r="C67" s="4" t="str">
        <f aca="false">IFERROR(VLOOKUP($B67,Ref_Continente!$A:$B,2,FALSE()),"Sin clasificar")</f>
        <v>Asia</v>
      </c>
      <c r="D67" s="5" t="n">
        <v>766795</v>
      </c>
      <c r="E67" s="6" t="n">
        <v>163295</v>
      </c>
      <c r="F67" s="6" t="n">
        <v>14500</v>
      </c>
      <c r="G67" s="5" t="n">
        <v>5759071769013.11</v>
      </c>
      <c r="H67" s="4" t="n">
        <f aca="false">IFERROR(IF(AND(VLOOKUP($B67,Ref_Acuerdos!$A:$E,2,FALSE())="FTA",$A67&gt;=VLOOKUP($B67,Ref_Acuerdos!$A:$E,3,FALSE())),1,0),0)</f>
        <v>0</v>
      </c>
      <c r="I67" s="4" t="n">
        <f aca="false">IFERROR(IF(AND(VLOOKUP($B67,Ref_Acuerdos!$A:$E,2,FALSE())="PTA",$A67&gt;=VLOOKUP($B67,Ref_Acuerdos!$A:$E,3,FALSE())),1,0),0)</f>
        <v>0</v>
      </c>
      <c r="J67" s="7" t="str">
        <f aca="false">IFERROR(IF($A67&gt;=VLOOKUP($B67,Ref_Acuerdos!$A:$E,3,FALSE()),VLOOKUP($B67,Ref_Acuerdos!$A:$E,4,FALSE()),""),"")</f>
        <v/>
      </c>
      <c r="K67" s="4" t="str">
        <f aca="false">IFERROR(IF($A67&gt;=VLOOKUP($B67,Ref_Acuerdos!$A:$E,3,FALSE()),VLOOKUP($B67,Ref_Acuerdos!$A:$E,5,FALSE()),"Sin FTA/PTA vigente ese año - arancel NMF"),"Sin FTA/PTA identificado - arancel NMF")</f>
        <v>Sin FTA/PTA identificado - arancel NMF</v>
      </c>
    </row>
    <row r="68" customFormat="false" ht="15" hidden="false" customHeight="false" outlineLevel="0" collapsed="false">
      <c r="A68" s="2" t="n">
        <v>2010</v>
      </c>
      <c r="B68" s="2" t="s">
        <v>105</v>
      </c>
      <c r="C68" s="4" t="str">
        <f aca="false">IFERROR(VLOOKUP($B68,Ref_Continente!$A:$B,2,FALSE()),"Sin clasificar")</f>
        <v>Europe</v>
      </c>
      <c r="D68" s="5" t="n">
        <v>634371</v>
      </c>
      <c r="E68" s="6" t="n">
        <v>125253</v>
      </c>
      <c r="F68" s="6" t="n">
        <v>8700</v>
      </c>
      <c r="G68" s="5" t="n">
        <v>1427989078916.67</v>
      </c>
      <c r="H68" s="4" t="n">
        <f aca="false">IFERROR(IF(AND(VLOOKUP($B68,Ref_Acuerdos!$A:$E,2,FALSE())="FTA",$A68&gt;=VLOOKUP($B68,Ref_Acuerdos!$A:$E,3,FALSE())),1,0),0)</f>
        <v>0</v>
      </c>
      <c r="I68" s="4" t="n">
        <f aca="false">IFERROR(IF(AND(VLOOKUP($B68,Ref_Acuerdos!$A:$E,2,FALSE())="PTA",$A68&gt;=VLOOKUP($B68,Ref_Acuerdos!$A:$E,3,FALSE())),1,0),0)</f>
        <v>0</v>
      </c>
      <c r="J68" s="7" t="str">
        <f aca="false">IFERROR(IF($A68&gt;=VLOOKUP($B68,Ref_Acuerdos!$A:$E,3,FALSE()),VLOOKUP($B68,Ref_Acuerdos!$A:$E,4,FALSE()),""),"")</f>
        <v/>
      </c>
      <c r="K68" s="4" t="str">
        <f aca="false">IFERROR(IF($A68&gt;=VLOOKUP($B68,Ref_Acuerdos!$A:$E,3,FALSE()),VLOOKUP($B68,Ref_Acuerdos!$A:$E,5,FALSE()),"Sin FTA/PTA vigente ese año - arancel NMF"),"Sin FTA/PTA identificado - arancel NMF")</f>
        <v>Sin FTA/PTA vigente ese año - arancel NMF</v>
      </c>
    </row>
    <row r="69" customFormat="false" ht="15" hidden="false" customHeight="false" outlineLevel="0" collapsed="false">
      <c r="A69" s="2" t="n">
        <v>2010</v>
      </c>
      <c r="B69" s="2" t="s">
        <v>115</v>
      </c>
      <c r="C69" s="4" t="str">
        <f aca="false">IFERROR(VLOOKUP($B69,Ref_Continente!$A:$B,2,FALSE()),"Sin clasificar")</f>
        <v>Europe</v>
      </c>
      <c r="D69" s="5" t="n">
        <v>347463</v>
      </c>
      <c r="E69" s="6" t="n">
        <v>78405</v>
      </c>
      <c r="F69" s="6" t="n">
        <v>11</v>
      </c>
      <c r="G69" s="5" t="n">
        <v>141209170427.23</v>
      </c>
      <c r="H69" s="4" t="n">
        <f aca="false">IFERROR(IF(AND(VLOOKUP($B69,Ref_Acuerdos!$A:$E,2,FALSE())="FTA",$A69&gt;=VLOOKUP($B69,Ref_Acuerdos!$A:$E,3,FALSE())),1,0),0)</f>
        <v>0</v>
      </c>
      <c r="I69" s="4" t="n">
        <f aca="false">IFERROR(IF(AND(VLOOKUP($B69,Ref_Acuerdos!$A:$E,2,FALSE())="PTA",$A69&gt;=VLOOKUP($B69,Ref_Acuerdos!$A:$E,3,FALSE())),1,0),0)</f>
        <v>0</v>
      </c>
      <c r="J69" s="7" t="str">
        <f aca="false">IFERROR(IF($A69&gt;=VLOOKUP($B69,Ref_Acuerdos!$A:$E,3,FALSE()),VLOOKUP($B69,Ref_Acuerdos!$A:$E,4,FALSE()),""),"")</f>
        <v/>
      </c>
      <c r="K69" s="4" t="str">
        <f aca="false">IFERROR(IF($A69&gt;=VLOOKUP($B69,Ref_Acuerdos!$A:$E,3,FALSE()),VLOOKUP($B69,Ref_Acuerdos!$A:$E,5,FALSE()),"Sin FTA/PTA vigente ese año - arancel NMF"),"Sin FTA/PTA identificado - arancel NMF")</f>
        <v>Sin FTA/PTA identificado - arancel NMF</v>
      </c>
    </row>
    <row r="70" customFormat="false" ht="15" hidden="false" customHeight="false" outlineLevel="0" collapsed="false">
      <c r="A70" s="2" t="n">
        <v>2010</v>
      </c>
      <c r="B70" s="2" t="s">
        <v>59</v>
      </c>
      <c r="C70" s="4" t="str">
        <f aca="false">IFERROR(VLOOKUP($B70,Ref_Continente!$A:$B,2,FALSE()),"Sin clasificar")</f>
        <v>Europe</v>
      </c>
      <c r="D70" s="5" t="n">
        <v>301688</v>
      </c>
      <c r="E70" s="6" t="n">
        <v>73465</v>
      </c>
      <c r="F70" s="6" t="n">
        <v>10100</v>
      </c>
      <c r="G70" s="5" t="n">
        <v>2144936254535</v>
      </c>
      <c r="H70" s="4" t="n">
        <f aca="false">IFERROR(IF(AND(VLOOKUP($B70,Ref_Acuerdos!$A:$E,2,FALSE())="FTA",$A70&gt;=VLOOKUP($B70,Ref_Acuerdos!$A:$E,3,FALSE())),1,0),0)</f>
        <v>0</v>
      </c>
      <c r="I70" s="4" t="n">
        <f aca="false">IFERROR(IF(AND(VLOOKUP($B70,Ref_Acuerdos!$A:$E,2,FALSE())="PTA",$A70&gt;=VLOOKUP($B70,Ref_Acuerdos!$A:$E,3,FALSE())),1,0),0)</f>
        <v>0</v>
      </c>
      <c r="J70" s="7" t="str">
        <f aca="false">IFERROR(IF($A70&gt;=VLOOKUP($B70,Ref_Acuerdos!$A:$E,3,FALSE()),VLOOKUP($B70,Ref_Acuerdos!$A:$E,4,FALSE()),""),"")</f>
        <v/>
      </c>
      <c r="K70" s="4" t="str">
        <f aca="false">IFERROR(IF($A70&gt;=VLOOKUP($B70,Ref_Acuerdos!$A:$E,3,FALSE()),VLOOKUP($B70,Ref_Acuerdos!$A:$E,5,FALSE()),"Sin FTA/PTA vigente ese año - arancel NMF"),"Sin FTA/PTA identificado - arancel NMF")</f>
        <v>Sin FTA/PTA vigente ese año - arancel NMF</v>
      </c>
    </row>
    <row r="71" customFormat="false" ht="15" hidden="false" customHeight="false" outlineLevel="0" collapsed="false">
      <c r="A71" s="2" t="n">
        <v>2010</v>
      </c>
      <c r="B71" s="2" t="s">
        <v>29</v>
      </c>
      <c r="C71" s="4" t="str">
        <f aca="false">IFERROR(VLOOKUP($B71,Ref_Continente!$A:$B,2,FALSE()),"Sin clasificar")</f>
        <v>South America</v>
      </c>
      <c r="D71" s="5" t="n">
        <v>221025</v>
      </c>
      <c r="E71" s="6" t="n">
        <v>40394</v>
      </c>
      <c r="F71" s="6" t="n">
        <v>720</v>
      </c>
      <c r="G71" s="5" t="n">
        <v>286498534094.96</v>
      </c>
      <c r="H71" s="4" t="n">
        <f aca="false">IFERROR(IF(AND(VLOOKUP($B71,Ref_Acuerdos!$A:$E,2,FALSE())="FTA",$A71&gt;=VLOOKUP($B71,Ref_Acuerdos!$A:$E,3,FALSE())),1,0),0)</f>
        <v>0</v>
      </c>
      <c r="I71" s="4" t="n">
        <f aca="false">IFERROR(IF(AND(VLOOKUP($B71,Ref_Acuerdos!$A:$E,2,FALSE())="PTA",$A71&gt;=VLOOKUP($B71,Ref_Acuerdos!$A:$E,3,FALSE())),1,0),0)</f>
        <v>1</v>
      </c>
      <c r="J71" s="7" t="n">
        <f aca="false">IFERROR(IF($A71&gt;=VLOOKUP($B71,Ref_Acuerdos!$A:$E,3,FALSE()),VLOOKUP($B71,Ref_Acuerdos!$A:$E,4,FALSE()),""),"")</f>
        <v>0</v>
      </c>
      <c r="K71" s="4" t="str">
        <f aca="false">IFERROR(IF($A71&gt;=VLOOKUP($B71,Ref_Acuerdos!$A:$E,3,FALSE()),VLOOKUP($B71,Ref_Acuerdos!$A:$E,5,FALSE()),"Sin FTA/PTA vigente ese año - arancel NMF"),"Sin FTA/PTA identificado - arancel NMF")</f>
        <v>Comunidad Andina (CAN) - libre comercio intracomunitario</v>
      </c>
    </row>
    <row r="72" customFormat="false" ht="15" hidden="false" customHeight="false" outlineLevel="0" collapsed="false">
      <c r="A72" s="2" t="n">
        <v>2010</v>
      </c>
      <c r="B72" s="2" t="s">
        <v>86</v>
      </c>
      <c r="C72" s="4" t="str">
        <f aca="false">IFERROR(VLOOKUP($B72,Ref_Continente!$A:$B,2,FALSE()),"Sin clasificar")</f>
        <v>North America</v>
      </c>
      <c r="D72" s="5" t="n">
        <v>152927</v>
      </c>
      <c r="E72" s="6" t="n">
        <v>40725</v>
      </c>
      <c r="F72" s="6" t="n">
        <v>1020</v>
      </c>
      <c r="G72" s="5" t="n">
        <v>30231009532.95</v>
      </c>
      <c r="H72" s="4" t="n">
        <f aca="false">IFERROR(IF(AND(VLOOKUP($B72,Ref_Acuerdos!$A:$E,2,FALSE())="FTA",$A72&gt;=VLOOKUP($B72,Ref_Acuerdos!$A:$E,3,FALSE())),1,0),0)</f>
        <v>0</v>
      </c>
      <c r="I72" s="4" t="n">
        <f aca="false">IFERROR(IF(AND(VLOOKUP($B72,Ref_Acuerdos!$A:$E,2,FALSE())="PTA",$A72&gt;=VLOOKUP($B72,Ref_Acuerdos!$A:$E,3,FALSE())),1,0),0)</f>
        <v>1</v>
      </c>
      <c r="J72" s="7" t="n">
        <f aca="false">IFERROR(IF($A72&gt;=VLOOKUP($B72,Ref_Acuerdos!$A:$E,3,FALSE()),VLOOKUP($B72,Ref_Acuerdos!$A:$E,4,FALSE()),""),"")</f>
        <v>10</v>
      </c>
      <c r="K72" s="4" t="str">
        <f aca="false">IFERROR(IF($A72&gt;=VLOOKUP($B72,Ref_Acuerdos!$A:$E,3,FALSE()),VLOOKUP($B72,Ref_Acuerdos!$A:$E,5,FALSE()),"Sin FTA/PTA vigente ese año - arancel NMF"),"Sin FTA/PTA identificado - arancel NMF")</f>
        <v>ALADI - Acuerdo de Alcance Parcial (preferencia limitada, tarifa referencial)</v>
      </c>
    </row>
    <row r="73" customFormat="false" ht="15" hidden="false" customHeight="false" outlineLevel="0" collapsed="false">
      <c r="A73" s="2" t="n">
        <v>2010</v>
      </c>
      <c r="B73" s="2" t="s">
        <v>25</v>
      </c>
      <c r="C73" s="4" t="str">
        <f aca="false">IFERROR(VLOOKUP($B73,Ref_Continente!$A:$B,2,FALSE()),"Sin clasificar")</f>
        <v>North America</v>
      </c>
      <c r="D73" s="5" t="n">
        <v>126894</v>
      </c>
      <c r="E73" s="6" t="n">
        <v>27413</v>
      </c>
      <c r="F73" s="6" t="n">
        <v>5900</v>
      </c>
      <c r="G73" s="5" t="n">
        <v>1617343367486.26</v>
      </c>
      <c r="H73" s="4" t="n">
        <f aca="false">IFERROR(IF(AND(VLOOKUP($B73,Ref_Acuerdos!$A:$E,2,FALSE())="FTA",$A73&gt;=VLOOKUP($B73,Ref_Acuerdos!$A:$E,3,FALSE())),1,0),0)</f>
        <v>0</v>
      </c>
      <c r="I73" s="4" t="n">
        <f aca="false">IFERROR(IF(AND(VLOOKUP($B73,Ref_Acuerdos!$A:$E,2,FALSE())="PTA",$A73&gt;=VLOOKUP($B73,Ref_Acuerdos!$A:$E,3,FALSE())),1,0),0)</f>
        <v>0</v>
      </c>
      <c r="J73" s="7" t="str">
        <f aca="false">IFERROR(IF($A73&gt;=VLOOKUP($B73,Ref_Acuerdos!$A:$E,3,FALSE()),VLOOKUP($B73,Ref_Acuerdos!$A:$E,4,FALSE()),""),"")</f>
        <v/>
      </c>
      <c r="K73" s="4" t="str">
        <f aca="false">IFERROR(IF($A73&gt;=VLOOKUP($B73,Ref_Acuerdos!$A:$E,3,FALSE()),VLOOKUP($B73,Ref_Acuerdos!$A:$E,5,FALSE()),"Sin FTA/PTA vigente ese año - arancel NMF"),"Sin FTA/PTA identificado - arancel NMF")</f>
        <v>Sin FTA/PTA identificado - arancel NMF</v>
      </c>
    </row>
    <row r="74" customFormat="false" ht="15" hidden="false" customHeight="false" outlineLevel="0" collapsed="false">
      <c r="A74" s="2" t="n">
        <v>2010</v>
      </c>
      <c r="B74" s="2" t="s">
        <v>4</v>
      </c>
      <c r="C74" s="4" t="str">
        <f aca="false">IFERROR(VLOOKUP($B74,Ref_Continente!$A:$B,2,FALSE()),"Sin clasificar")</f>
        <v>Sin clasificar</v>
      </c>
      <c r="D74" s="5" t="n">
        <v>113917</v>
      </c>
      <c r="E74" s="6" t="n">
        <v>13232</v>
      </c>
      <c r="F74" s="6" t="n">
        <v>0</v>
      </c>
      <c r="G74" s="5"/>
      <c r="H74" s="4" t="n">
        <f aca="false">IFERROR(IF(AND(VLOOKUP($B74,Ref_Acuerdos!$A:$E,2,FALSE())="FTA",$A74&gt;=VLOOKUP($B74,Ref_Acuerdos!$A:$E,3,FALSE())),1,0),0)</f>
        <v>0</v>
      </c>
      <c r="I74" s="4" t="n">
        <f aca="false">IFERROR(IF(AND(VLOOKUP($B74,Ref_Acuerdos!$A:$E,2,FALSE())="PTA",$A74&gt;=VLOOKUP($B74,Ref_Acuerdos!$A:$E,3,FALSE())),1,0),0)</f>
        <v>0</v>
      </c>
      <c r="J74" s="7" t="str">
        <f aca="false">IFERROR(IF($A74&gt;=VLOOKUP($B74,Ref_Acuerdos!$A:$E,3,FALSE()),VLOOKUP($B74,Ref_Acuerdos!$A:$E,4,FALSE()),""),"")</f>
        <v/>
      </c>
      <c r="K74" s="4" t="str">
        <f aca="false">IFERROR(IF($A74&gt;=VLOOKUP($B74,Ref_Acuerdos!$A:$E,3,FALSE()),VLOOKUP($B74,Ref_Acuerdos!$A:$E,5,FALSE()),"Sin FTA/PTA vigente ese año - arancel NMF"),"Sin FTA/PTA identificado - arancel NMF")</f>
        <v>Sin FTA/PTA identificado - arancel NMF</v>
      </c>
    </row>
    <row r="75" customFormat="false" ht="15" hidden="false" customHeight="false" outlineLevel="0" collapsed="false">
      <c r="A75" s="2" t="n">
        <v>2010</v>
      </c>
      <c r="B75" s="2" t="s">
        <v>26</v>
      </c>
      <c r="C75" s="4" t="str">
        <f aca="false">IFERROR(VLOOKUP($B75,Ref_Continente!$A:$B,2,FALSE()),"Sin clasificar")</f>
        <v>South America</v>
      </c>
      <c r="D75" s="5" t="n">
        <v>102934</v>
      </c>
      <c r="E75" s="6" t="n">
        <v>28064</v>
      </c>
      <c r="F75" s="6" t="n">
        <v>2600</v>
      </c>
      <c r="G75" s="5" t="n">
        <v>217051209238.53</v>
      </c>
      <c r="H75" s="4" t="n">
        <f aca="false">IFERROR(IF(AND(VLOOKUP($B75,Ref_Acuerdos!$A:$E,2,FALSE())="FTA",$A75&gt;=VLOOKUP($B75,Ref_Acuerdos!$A:$E,3,FALSE())),1,0),0)</f>
        <v>1</v>
      </c>
      <c r="I75" s="4" t="n">
        <f aca="false">IFERROR(IF(AND(VLOOKUP($B75,Ref_Acuerdos!$A:$E,2,FALSE())="PTA",$A75&gt;=VLOOKUP($B75,Ref_Acuerdos!$A:$E,3,FALSE())),1,0),0)</f>
        <v>0</v>
      </c>
      <c r="J75" s="7" t="n">
        <f aca="false">IFERROR(IF($A75&gt;=VLOOKUP($B75,Ref_Acuerdos!$A:$E,3,FALSE()),VLOOKUP($B75,Ref_Acuerdos!$A:$E,4,FALSE()),""),"")</f>
        <v>0</v>
      </c>
      <c r="K75" s="4" t="str">
        <f aca="false">IFERROR(IF($A75&gt;=VLOOKUP($B75,Ref_Acuerdos!$A:$E,3,FALSE()),VLOOKUP($B75,Ref_Acuerdos!$A:$E,5,FALSE()),"Sin FTA/PTA vigente ese año - arancel NMF"),"Sin FTA/PTA identificado - arancel NMF")</f>
        <v>Ecuador-Chile ACE 65, vigente desde 2010</v>
      </c>
    </row>
    <row r="76" customFormat="false" ht="15" hidden="false" customHeight="false" outlineLevel="0" collapsed="false">
      <c r="A76" s="2" t="n">
        <v>2010</v>
      </c>
      <c r="B76" s="2" t="s">
        <v>45</v>
      </c>
      <c r="C76" s="4" t="str">
        <f aca="false">IFERROR(VLOOKUP($B76,Ref_Continente!$A:$B,2,FALSE()),"Sin clasificar")</f>
        <v>Europe</v>
      </c>
      <c r="D76" s="5" t="n">
        <v>71809</v>
      </c>
      <c r="E76" s="6" t="n">
        <v>17411</v>
      </c>
      <c r="F76" s="6" t="n">
        <v>9650</v>
      </c>
      <c r="G76" s="5" t="n">
        <v>3467093769666.67</v>
      </c>
      <c r="H76" s="4" t="n">
        <f aca="false">IFERROR(IF(AND(VLOOKUP($B76,Ref_Acuerdos!$A:$E,2,FALSE())="FTA",$A76&gt;=VLOOKUP($B76,Ref_Acuerdos!$A:$E,3,FALSE())),1,0),0)</f>
        <v>0</v>
      </c>
      <c r="I76" s="4" t="n">
        <f aca="false">IFERROR(IF(AND(VLOOKUP($B76,Ref_Acuerdos!$A:$E,2,FALSE())="PTA",$A76&gt;=VLOOKUP($B76,Ref_Acuerdos!$A:$E,3,FALSE())),1,0),0)</f>
        <v>0</v>
      </c>
      <c r="J76" s="7" t="str">
        <f aca="false">IFERROR(IF($A76&gt;=VLOOKUP($B76,Ref_Acuerdos!$A:$E,3,FALSE()),VLOOKUP($B76,Ref_Acuerdos!$A:$E,4,FALSE()),""),"")</f>
        <v/>
      </c>
      <c r="K76" s="4" t="str">
        <f aca="false">IFERROR(IF($A76&gt;=VLOOKUP($B76,Ref_Acuerdos!$A:$E,3,FALSE()),VLOOKUP($B76,Ref_Acuerdos!$A:$E,5,FALSE()),"Sin FTA/PTA vigente ese año - arancel NMF"),"Sin FTA/PTA identificado - arancel NMF")</f>
        <v>Sin FTA/PTA vigente ese año - arancel NMF</v>
      </c>
    </row>
    <row r="77" customFormat="false" ht="15" hidden="false" customHeight="false" outlineLevel="0" collapsed="false">
      <c r="A77" s="2" t="n">
        <v>2010</v>
      </c>
      <c r="B77" s="2" t="s">
        <v>78</v>
      </c>
      <c r="C77" s="4" t="str">
        <f aca="false">IFERROR(VLOOKUP($B77,Ref_Continente!$A:$B,2,FALSE()),"Sin clasificar")</f>
        <v>North America</v>
      </c>
      <c r="D77" s="5" t="n">
        <v>46340</v>
      </c>
      <c r="E77" s="6" t="n">
        <v>9064</v>
      </c>
      <c r="F77" s="6" t="n">
        <v>2250</v>
      </c>
      <c r="G77" s="5"/>
      <c r="H77" s="4" t="n">
        <f aca="false">IFERROR(IF(AND(VLOOKUP($B77,Ref_Acuerdos!$A:$E,2,FALSE())="FTA",$A77&gt;=VLOOKUP($B77,Ref_Acuerdos!$A:$E,3,FALSE())),1,0),0)</f>
        <v>0</v>
      </c>
      <c r="I77" s="4" t="n">
        <f aca="false">IFERROR(IF(AND(VLOOKUP($B77,Ref_Acuerdos!$A:$E,2,FALSE())="PTA",$A77&gt;=VLOOKUP($B77,Ref_Acuerdos!$A:$E,3,FALSE())),1,0),0)</f>
        <v>0</v>
      </c>
      <c r="J77" s="7" t="str">
        <f aca="false">IFERROR(IF($A77&gt;=VLOOKUP($B77,Ref_Acuerdos!$A:$E,3,FALSE()),VLOOKUP($B77,Ref_Acuerdos!$A:$E,4,FALSE()),""),"")</f>
        <v/>
      </c>
      <c r="K77" s="4" t="str">
        <f aca="false">IFERROR(IF($A77&gt;=VLOOKUP($B77,Ref_Acuerdos!$A:$E,3,FALSE()),VLOOKUP($B77,Ref_Acuerdos!$A:$E,5,FALSE()),"Sin FTA/PTA vigente ese año - arancel NMF"),"Sin FTA/PTA identificado - arancel NMF")</f>
        <v>Sin FTA/PTA identificado - arancel NMF</v>
      </c>
    </row>
    <row r="78" customFormat="false" ht="15" hidden="false" customHeight="false" outlineLevel="0" collapsed="false">
      <c r="A78" s="2" t="n">
        <v>2010</v>
      </c>
      <c r="B78" s="2" t="s">
        <v>42</v>
      </c>
      <c r="C78" s="4" t="str">
        <f aca="false">IFERROR(VLOOKUP($B78,Ref_Continente!$A:$B,2,FALSE()),"Sin clasificar")</f>
        <v>Europe</v>
      </c>
      <c r="D78" s="5" t="n">
        <v>40636</v>
      </c>
      <c r="E78" s="6" t="n">
        <v>7706</v>
      </c>
      <c r="F78" s="6" t="n">
        <v>9150</v>
      </c>
      <c r="G78" s="5" t="n">
        <v>2646230027988.34</v>
      </c>
      <c r="H78" s="4" t="n">
        <f aca="false">IFERROR(IF(AND(VLOOKUP($B78,Ref_Acuerdos!$A:$E,2,FALSE())="FTA",$A78&gt;=VLOOKUP($B78,Ref_Acuerdos!$A:$E,3,FALSE())),1,0),0)</f>
        <v>0</v>
      </c>
      <c r="I78" s="4" t="n">
        <f aca="false">IFERROR(IF(AND(VLOOKUP($B78,Ref_Acuerdos!$A:$E,2,FALSE())="PTA",$A78&gt;=VLOOKUP($B78,Ref_Acuerdos!$A:$E,3,FALSE())),1,0),0)</f>
        <v>0</v>
      </c>
      <c r="J78" s="7" t="str">
        <f aca="false">IFERROR(IF($A78&gt;=VLOOKUP($B78,Ref_Acuerdos!$A:$E,3,FALSE()),VLOOKUP($B78,Ref_Acuerdos!$A:$E,4,FALSE()),""),"")</f>
        <v/>
      </c>
      <c r="K78" s="4" t="str">
        <f aca="false">IFERROR(IF($A78&gt;=VLOOKUP($B78,Ref_Acuerdos!$A:$E,3,FALSE()),VLOOKUP($B78,Ref_Acuerdos!$A:$E,5,FALSE()),"Sin FTA/PTA vigente ese año - arancel NMF"),"Sin FTA/PTA identificado - arancel NMF")</f>
        <v>Sin FTA/PTA vigente ese año - arancel NMF</v>
      </c>
    </row>
    <row r="79" customFormat="false" ht="15" hidden="false" customHeight="false" outlineLevel="0" collapsed="false">
      <c r="A79" s="2" t="n">
        <v>2010</v>
      </c>
      <c r="B79" s="2" t="s">
        <v>100</v>
      </c>
      <c r="C79" s="4" t="str">
        <f aca="false">IFERROR(VLOOKUP($B79,Ref_Continente!$A:$B,2,FALSE()),"Sin clasificar")</f>
        <v>Asia</v>
      </c>
      <c r="D79" s="5" t="n">
        <v>38032</v>
      </c>
      <c r="E79" s="6" t="n">
        <v>12564</v>
      </c>
      <c r="F79" s="6" t="n">
        <v>13800</v>
      </c>
      <c r="G79" s="5" t="n">
        <v>528207466666.67</v>
      </c>
      <c r="H79" s="4" t="n">
        <f aca="false">IFERROR(IF(AND(VLOOKUP($B79,Ref_Acuerdos!$A:$E,2,FALSE())="FTA",$A79&gt;=VLOOKUP($B79,Ref_Acuerdos!$A:$E,3,FALSE())),1,0),0)</f>
        <v>0</v>
      </c>
      <c r="I79" s="4" t="n">
        <f aca="false">IFERROR(IF(AND(VLOOKUP($B79,Ref_Acuerdos!$A:$E,2,FALSE())="PTA",$A79&gt;=VLOOKUP($B79,Ref_Acuerdos!$A:$E,3,FALSE())),1,0),0)</f>
        <v>0</v>
      </c>
      <c r="J79" s="7" t="str">
        <f aca="false">IFERROR(IF($A79&gt;=VLOOKUP($B79,Ref_Acuerdos!$A:$E,3,FALSE()),VLOOKUP($B79,Ref_Acuerdos!$A:$E,4,FALSE()),""),"")</f>
        <v/>
      </c>
      <c r="K79" s="4" t="str">
        <f aca="false">IFERROR(IF($A79&gt;=VLOOKUP($B79,Ref_Acuerdos!$A:$E,3,FALSE()),VLOOKUP($B79,Ref_Acuerdos!$A:$E,5,FALSE()),"Sin FTA/PTA vigente ese año - arancel NMF"),"Sin FTA/PTA identificado - arancel NMF")</f>
        <v>Sin FTA/PTA identificado - arancel NMF</v>
      </c>
    </row>
    <row r="80" customFormat="false" ht="15" hidden="false" customHeight="false" outlineLevel="0" collapsed="false">
      <c r="A80" s="2" t="n">
        <v>2010</v>
      </c>
      <c r="B80" s="2" t="s">
        <v>32</v>
      </c>
      <c r="C80" s="4" t="str">
        <f aca="false">IFERROR(VLOOKUP($B80,Ref_Continente!$A:$B,2,FALSE()),"Sin clasificar")</f>
        <v>North America</v>
      </c>
      <c r="D80" s="5" t="n">
        <v>33606</v>
      </c>
      <c r="E80" s="6" t="n">
        <v>7107</v>
      </c>
      <c r="F80" s="6" t="n">
        <v>2450</v>
      </c>
      <c r="G80" s="5" t="n">
        <v>59562962962.96</v>
      </c>
      <c r="H80" s="4" t="n">
        <f aca="false">IFERROR(IF(AND(VLOOKUP($B80,Ref_Acuerdos!$A:$E,2,FALSE())="FTA",$A80&gt;=VLOOKUP($B80,Ref_Acuerdos!$A:$E,3,FALSE())),1,0),0)</f>
        <v>0</v>
      </c>
      <c r="I80" s="4" t="n">
        <f aca="false">IFERROR(IF(AND(VLOOKUP($B80,Ref_Acuerdos!$A:$E,2,FALSE())="PTA",$A80&gt;=VLOOKUP($B80,Ref_Acuerdos!$A:$E,3,FALSE())),1,0),0)</f>
        <v>1</v>
      </c>
      <c r="J80" s="7" t="n">
        <f aca="false">IFERROR(IF($A80&gt;=VLOOKUP($B80,Ref_Acuerdos!$A:$E,3,FALSE()),VLOOKUP($B80,Ref_Acuerdos!$A:$E,4,FALSE()),""),"")</f>
        <v>10</v>
      </c>
      <c r="K80" s="4" t="str">
        <f aca="false">IFERROR(IF($A80&gt;=VLOOKUP($B80,Ref_Acuerdos!$A:$E,3,FALSE()),VLOOKUP($B80,Ref_Acuerdos!$A:$E,5,FALSE()),"Sin FTA/PTA vigente ese año - arancel NMF"),"Sin FTA/PTA identificado - arancel NMF")</f>
        <v>ALADI - Acuerdo de Alcance Parcial (preferencia limitada, tarifa referencial)</v>
      </c>
    </row>
    <row r="81" customFormat="false" ht="15" hidden="false" customHeight="false" outlineLevel="0" collapsed="false">
      <c r="A81" s="2" t="n">
        <v>2010</v>
      </c>
      <c r="B81" s="2" t="s">
        <v>12</v>
      </c>
      <c r="C81" s="4" t="str">
        <f aca="false">IFERROR(VLOOKUP($B81,Ref_Continente!$A:$B,2,FALSE()),"Sin clasificar")</f>
        <v>Oceania</v>
      </c>
      <c r="D81" s="5" t="n">
        <v>25781</v>
      </c>
      <c r="E81" s="6" t="n">
        <v>5092</v>
      </c>
      <c r="F81" s="6" t="n">
        <v>14000</v>
      </c>
      <c r="G81" s="5" t="n">
        <v>1152566632022.13</v>
      </c>
      <c r="H81" s="4" t="n">
        <f aca="false">IFERROR(IF(AND(VLOOKUP($B81,Ref_Acuerdos!$A:$E,2,FALSE())="FTA",$A81&gt;=VLOOKUP($B81,Ref_Acuerdos!$A:$E,3,FALSE())),1,0),0)</f>
        <v>0</v>
      </c>
      <c r="I81" s="4" t="n">
        <f aca="false">IFERROR(IF(AND(VLOOKUP($B81,Ref_Acuerdos!$A:$E,2,FALSE())="PTA",$A81&gt;=VLOOKUP($B81,Ref_Acuerdos!$A:$E,3,FALSE())),1,0),0)</f>
        <v>0</v>
      </c>
      <c r="J81" s="7" t="str">
        <f aca="false">IFERROR(IF($A81&gt;=VLOOKUP($B81,Ref_Acuerdos!$A:$E,3,FALSE()),VLOOKUP($B81,Ref_Acuerdos!$A:$E,4,FALSE()),""),"")</f>
        <v/>
      </c>
      <c r="K81" s="4" t="str">
        <f aca="false">IFERROR(IF($A81&gt;=VLOOKUP($B81,Ref_Acuerdos!$A:$E,3,FALSE()),VLOOKUP($B81,Ref_Acuerdos!$A:$E,5,FALSE()),"Sin FTA/PTA vigente ese año - arancel NMF"),"Sin FTA/PTA identificado - arancel NMF")</f>
        <v>Sin FTA/PTA identificado - arancel NMF</v>
      </c>
    </row>
    <row r="82" customFormat="false" ht="15" hidden="false" customHeight="false" outlineLevel="0" collapsed="false">
      <c r="A82" s="2" t="n">
        <v>2010</v>
      </c>
      <c r="B82" s="2" t="s">
        <v>108</v>
      </c>
      <c r="C82" s="4" t="str">
        <f aca="false">IFERROR(VLOOKUP($B82,Ref_Continente!$A:$B,2,FALSE()),"Sin clasificar")</f>
        <v>Europe</v>
      </c>
      <c r="D82" s="5" t="n">
        <v>23099</v>
      </c>
      <c r="E82" s="6" t="n">
        <v>2317</v>
      </c>
      <c r="F82" s="6" t="n">
        <v>9800</v>
      </c>
      <c r="G82" s="5" t="n">
        <v>598851028906.58</v>
      </c>
      <c r="H82" s="4" t="n">
        <f aca="false">IFERROR(IF(AND(VLOOKUP($B82,Ref_Acuerdos!$A:$E,2,FALSE())="FTA",$A82&gt;=VLOOKUP($B82,Ref_Acuerdos!$A:$E,3,FALSE())),1,0),0)</f>
        <v>0</v>
      </c>
      <c r="I82" s="4" t="n">
        <f aca="false">IFERROR(IF(AND(VLOOKUP($B82,Ref_Acuerdos!$A:$E,2,FALSE())="PTA",$A82&gt;=VLOOKUP($B82,Ref_Acuerdos!$A:$E,3,FALSE())),1,0),0)</f>
        <v>0</v>
      </c>
      <c r="J82" s="7" t="str">
        <f aca="false">IFERROR(IF($A82&gt;=VLOOKUP($B82,Ref_Acuerdos!$A:$E,3,FALSE()),VLOOKUP($B82,Ref_Acuerdos!$A:$E,4,FALSE()),""),"")</f>
        <v/>
      </c>
      <c r="K82" s="4" t="str">
        <f aca="false">IFERROR(IF($A82&gt;=VLOOKUP($B82,Ref_Acuerdos!$A:$E,3,FALSE()),VLOOKUP($B82,Ref_Acuerdos!$A:$E,5,FALSE()),"Sin FTA/PTA vigente ese año - arancel NMF"),"Sin FTA/PTA identificado - arancel NMF")</f>
        <v>Sin FTA/PTA vigente ese año - arancel NMF</v>
      </c>
    </row>
    <row r="83" customFormat="false" ht="15" hidden="false" customHeight="false" outlineLevel="0" collapsed="false">
      <c r="A83" s="2" t="n">
        <v>2010</v>
      </c>
      <c r="B83" s="2" t="s">
        <v>63</v>
      </c>
      <c r="C83" s="4" t="str">
        <f aca="false">IFERROR(VLOOKUP($B83,Ref_Continente!$A:$B,2,FALSE()),"Sin clasificar")</f>
        <v>Asia</v>
      </c>
      <c r="D83" s="5" t="n">
        <v>21634</v>
      </c>
      <c r="E83" s="6" t="n">
        <v>444</v>
      </c>
      <c r="F83" s="6" t="n">
        <v>13600</v>
      </c>
      <c r="G83" s="5" t="n">
        <v>148047348240.64</v>
      </c>
      <c r="H83" s="4" t="n">
        <f aca="false">IFERROR(IF(AND(VLOOKUP($B83,Ref_Acuerdos!$A:$E,2,FALSE())="FTA",$A83&gt;=VLOOKUP($B83,Ref_Acuerdos!$A:$E,3,FALSE())),1,0),0)</f>
        <v>0</v>
      </c>
      <c r="I83" s="4" t="n">
        <f aca="false">IFERROR(IF(AND(VLOOKUP($B83,Ref_Acuerdos!$A:$E,2,FALSE())="PTA",$A83&gt;=VLOOKUP($B83,Ref_Acuerdos!$A:$E,3,FALSE())),1,0),0)</f>
        <v>0</v>
      </c>
      <c r="J83" s="7" t="str">
        <f aca="false">IFERROR(IF($A83&gt;=VLOOKUP($B83,Ref_Acuerdos!$A:$E,3,FALSE()),VLOOKUP($B83,Ref_Acuerdos!$A:$E,4,FALSE()),""),"")</f>
        <v/>
      </c>
      <c r="K83" s="4" t="str">
        <f aca="false">IFERROR(IF($A83&gt;=VLOOKUP($B83,Ref_Acuerdos!$A:$E,3,FALSE()),VLOOKUP($B83,Ref_Acuerdos!$A:$E,5,FALSE()),"Sin FTA/PTA vigente ese año - arancel NMF"),"Sin FTA/PTA identificado - arancel NMF")</f>
        <v>Sin FTA/PTA identificado - arancel NMF</v>
      </c>
    </row>
    <row r="84" customFormat="false" ht="15" hidden="false" customHeight="false" outlineLevel="0" collapsed="false">
      <c r="A84" s="2" t="n">
        <v>2010</v>
      </c>
      <c r="B84" s="2" t="s">
        <v>65</v>
      </c>
      <c r="C84" s="4" t="str">
        <f aca="false">IFERROR(VLOOKUP($B84,Ref_Continente!$A:$B,2,FALSE()),"Sin clasificar")</f>
        <v>Asia</v>
      </c>
      <c r="D84" s="5" t="n">
        <v>20448</v>
      </c>
      <c r="E84" s="6" t="n">
        <v>4183</v>
      </c>
      <c r="F84" s="6" t="n">
        <v>14300</v>
      </c>
      <c r="G84" s="5"/>
      <c r="H84" s="4" t="n">
        <f aca="false">IFERROR(IF(AND(VLOOKUP($B84,Ref_Acuerdos!$A:$E,2,FALSE())="FTA",$A84&gt;=VLOOKUP($B84,Ref_Acuerdos!$A:$E,3,FALSE())),1,0),0)</f>
        <v>0</v>
      </c>
      <c r="I84" s="4" t="n">
        <f aca="false">IFERROR(IF(AND(VLOOKUP($B84,Ref_Acuerdos!$A:$E,2,FALSE())="PTA",$A84&gt;=VLOOKUP($B84,Ref_Acuerdos!$A:$E,3,FALSE())),1,0),0)</f>
        <v>0</v>
      </c>
      <c r="J84" s="7" t="str">
        <f aca="false">IFERROR(IF($A84&gt;=VLOOKUP($B84,Ref_Acuerdos!$A:$E,3,FALSE()),VLOOKUP($B84,Ref_Acuerdos!$A:$E,4,FALSE()),""),"")</f>
        <v/>
      </c>
      <c r="K84" s="4" t="str">
        <f aca="false">IFERROR(IF($A84&gt;=VLOOKUP($B84,Ref_Acuerdos!$A:$E,3,FALSE()),VLOOKUP($B84,Ref_Acuerdos!$A:$E,5,FALSE()),"Sin FTA/PTA vigente ese año - arancel NMF"),"Sin FTA/PTA identificado - arancel NMF")</f>
        <v>Sin FTA/PTA identificado - arancel NMF</v>
      </c>
    </row>
    <row r="85" customFormat="false" ht="15" hidden="false" customHeight="false" outlineLevel="0" collapsed="false">
      <c r="A85" s="2" t="n">
        <v>2010</v>
      </c>
      <c r="B85" s="2" t="s">
        <v>118</v>
      </c>
      <c r="C85" s="4" t="str">
        <f aca="false">IFERROR(VLOOKUP($B85,Ref_Continente!$A:$B,2,FALSE()),"Sin clasificar")</f>
        <v>South America</v>
      </c>
      <c r="D85" s="5" t="n">
        <v>20356</v>
      </c>
      <c r="E85" s="6" t="n">
        <v>7142</v>
      </c>
      <c r="F85" s="6" t="n">
        <v>4650</v>
      </c>
      <c r="G85" s="5" t="n">
        <v>41950361211.96</v>
      </c>
      <c r="H85" s="4" t="n">
        <f aca="false">IFERROR(IF(AND(VLOOKUP($B85,Ref_Acuerdos!$A:$E,2,FALSE())="FTA",$A85&gt;=VLOOKUP($B85,Ref_Acuerdos!$A:$E,3,FALSE())),1,0),0)</f>
        <v>0</v>
      </c>
      <c r="I85" s="4" t="n">
        <f aca="false">IFERROR(IF(AND(VLOOKUP($B85,Ref_Acuerdos!$A:$E,2,FALSE())="PTA",$A85&gt;=VLOOKUP($B85,Ref_Acuerdos!$A:$E,3,FALSE())),1,0),0)</f>
        <v>1</v>
      </c>
      <c r="J85" s="7" t="n">
        <f aca="false">IFERROR(IF($A85&gt;=VLOOKUP($B85,Ref_Acuerdos!$A:$E,3,FALSE()),VLOOKUP($B85,Ref_Acuerdos!$A:$E,4,FALSE()),""),"")</f>
        <v>5</v>
      </c>
      <c r="K85" s="4" t="str">
        <f aca="false">IFERROR(IF($A85&gt;=VLOOKUP($B85,Ref_Acuerdos!$A:$E,3,FALSE()),VLOOKUP($B85,Ref_Acuerdos!$A:$E,5,FALSE()),"Sin FTA/PTA vigente ese año - arancel NMF"),"Sin FTA/PTA identificado - arancel NMF")</f>
        <v>Ecuador-Mercosur ACE 59 - preferencias parciales (tarifa referencial)</v>
      </c>
    </row>
    <row r="86" customFormat="false" ht="15" hidden="false" customHeight="false" outlineLevel="0" collapsed="false">
      <c r="A86" s="2" t="n">
        <v>2010</v>
      </c>
      <c r="B86" s="2" t="s">
        <v>92</v>
      </c>
      <c r="C86" s="4" t="str">
        <f aca="false">IFERROR(VLOOKUP($B86,Ref_Continente!$A:$B,2,FALSE()),"Sin clasificar")</f>
        <v>Asia</v>
      </c>
      <c r="D86" s="5" t="n">
        <v>17317</v>
      </c>
      <c r="E86" s="6" t="n">
        <v>4064</v>
      </c>
      <c r="F86" s="6" t="n">
        <v>14000</v>
      </c>
      <c r="G86" s="5" t="n">
        <v>123627197802.2</v>
      </c>
      <c r="H86" s="4" t="n">
        <f aca="false">IFERROR(IF(AND(VLOOKUP($B86,Ref_Acuerdos!$A:$E,2,FALSE())="FTA",$A86&gt;=VLOOKUP($B86,Ref_Acuerdos!$A:$E,3,FALSE())),1,0),0)</f>
        <v>0</v>
      </c>
      <c r="I86" s="4" t="n">
        <f aca="false">IFERROR(IF(AND(VLOOKUP($B86,Ref_Acuerdos!$A:$E,2,FALSE())="PTA",$A86&gt;=VLOOKUP($B86,Ref_Acuerdos!$A:$E,3,FALSE())),1,0),0)</f>
        <v>0</v>
      </c>
      <c r="J86" s="7" t="str">
        <f aca="false">IFERROR(IF($A86&gt;=VLOOKUP($B86,Ref_Acuerdos!$A:$E,3,FALSE()),VLOOKUP($B86,Ref_Acuerdos!$A:$E,4,FALSE()),""),"")</f>
        <v/>
      </c>
      <c r="K86" s="4" t="str">
        <f aca="false">IFERROR(IF($A86&gt;=VLOOKUP($B86,Ref_Acuerdos!$A:$E,3,FALSE()),VLOOKUP($B86,Ref_Acuerdos!$A:$E,5,FALSE()),"Sin FTA/PTA vigente ese año - arancel NMF"),"Sin FTA/PTA identificado - arancel NMF")</f>
        <v>Sin FTA/PTA identificado - arancel NMF</v>
      </c>
    </row>
    <row r="87" customFormat="false" ht="15" hidden="false" customHeight="false" outlineLevel="0" collapsed="false">
      <c r="A87" s="2" t="n">
        <v>2010</v>
      </c>
      <c r="B87" s="2" t="s">
        <v>80</v>
      </c>
      <c r="C87" s="4" t="str">
        <f aca="false">IFERROR(VLOOKUP($B87,Ref_Continente!$A:$B,2,FALSE()),"Sin clasificar")</f>
        <v>North America</v>
      </c>
      <c r="D87" s="5" t="n">
        <v>16994</v>
      </c>
      <c r="E87" s="6" t="n">
        <v>2432</v>
      </c>
      <c r="F87" s="6" t="n">
        <v>1730</v>
      </c>
      <c r="G87" s="5" t="n">
        <v>8758602232.98</v>
      </c>
      <c r="H87" s="4" t="n">
        <f aca="false">IFERROR(IF(AND(VLOOKUP($B87,Ref_Acuerdos!$A:$E,2,FALSE())="FTA",$A87&gt;=VLOOKUP($B87,Ref_Acuerdos!$A:$E,3,FALSE())),1,0),0)</f>
        <v>0</v>
      </c>
      <c r="I87" s="4" t="n">
        <f aca="false">IFERROR(IF(AND(VLOOKUP($B87,Ref_Acuerdos!$A:$E,2,FALSE())="PTA",$A87&gt;=VLOOKUP($B87,Ref_Acuerdos!$A:$E,3,FALSE())),1,0),0)</f>
        <v>1</v>
      </c>
      <c r="J87" s="7" t="n">
        <f aca="false">IFERROR(IF($A87&gt;=VLOOKUP($B87,Ref_Acuerdos!$A:$E,3,FALSE()),VLOOKUP($B87,Ref_Acuerdos!$A:$E,4,FALSE()),""),"")</f>
        <v>10</v>
      </c>
      <c r="K87" s="4" t="str">
        <f aca="false">IFERROR(IF($A87&gt;=VLOOKUP($B87,Ref_Acuerdos!$A:$E,3,FALSE()),VLOOKUP($B87,Ref_Acuerdos!$A:$E,5,FALSE()),"Sin FTA/PTA vigente ese año - arancel NMF"),"Sin FTA/PTA identificado - arancel NMF")</f>
        <v>ALADI - Acuerdo de Alcance Parcial (preferencia limitada, tarifa referencial)</v>
      </c>
    </row>
    <row r="88" customFormat="false" ht="15" hidden="false" customHeight="false" outlineLevel="0" collapsed="false">
      <c r="A88" s="2" t="n">
        <v>2010</v>
      </c>
      <c r="B88" s="2" t="s">
        <v>117</v>
      </c>
      <c r="C88" s="4" t="str">
        <f aca="false">IFERROR(VLOOKUP($B88,Ref_Continente!$A:$B,2,FALSE()),"Sin clasificar")</f>
        <v>Europe</v>
      </c>
      <c r="D88" s="5" t="n">
        <v>12926</v>
      </c>
      <c r="E88" s="6" t="n">
        <v>212</v>
      </c>
      <c r="F88" s="6" t="n">
        <v>9200</v>
      </c>
      <c r="G88" s="5" t="n">
        <v>2496740681057.14</v>
      </c>
      <c r="H88" s="4" t="n">
        <f aca="false">IFERROR(IF(AND(VLOOKUP($B88,Ref_Acuerdos!$A:$E,2,FALSE())="FTA",$A88&gt;=VLOOKUP($B88,Ref_Acuerdos!$A:$E,3,FALSE())),1,0),0)</f>
        <v>0</v>
      </c>
      <c r="I88" s="4" t="n">
        <f aca="false">IFERROR(IF(AND(VLOOKUP($B88,Ref_Acuerdos!$A:$E,2,FALSE())="PTA",$A88&gt;=VLOOKUP($B88,Ref_Acuerdos!$A:$E,3,FALSE())),1,0),0)</f>
        <v>0</v>
      </c>
      <c r="J88" s="7" t="str">
        <f aca="false">IFERROR(IF($A88&gt;=VLOOKUP($B88,Ref_Acuerdos!$A:$E,3,FALSE()),VLOOKUP($B88,Ref_Acuerdos!$A:$E,4,FALSE()),""),"")</f>
        <v/>
      </c>
      <c r="K88" s="4" t="str">
        <f aca="false">IFERROR(IF($A88&gt;=VLOOKUP($B88,Ref_Acuerdos!$A:$E,3,FALSE()),VLOOKUP($B88,Ref_Acuerdos!$A:$E,5,FALSE()),"Sin FTA/PTA vigente ese año - arancel NMF"),"Sin FTA/PTA identificado - arancel NMF")</f>
        <v>Sin FTA/PTA vigente ese año - arancel NMF</v>
      </c>
    </row>
    <row r="89" customFormat="false" ht="15" hidden="false" customHeight="false" outlineLevel="0" collapsed="false">
      <c r="A89" s="2" t="n">
        <v>2010</v>
      </c>
      <c r="B89" s="2" t="s">
        <v>19</v>
      </c>
      <c r="C89" s="4" t="str">
        <f aca="false">IFERROR(VLOOKUP($B89,Ref_Continente!$A:$B,2,FALSE()),"Sin clasificar")</f>
        <v>Europe</v>
      </c>
      <c r="D89" s="5" t="n">
        <v>12492</v>
      </c>
      <c r="E89" s="6" t="n">
        <v>3477</v>
      </c>
      <c r="F89" s="6" t="n">
        <v>10600</v>
      </c>
      <c r="G89" s="5" t="n">
        <v>57231904542.88</v>
      </c>
      <c r="H89" s="4" t="n">
        <f aca="false">IFERROR(IF(AND(VLOOKUP($B89,Ref_Acuerdos!$A:$E,2,FALSE())="FTA",$A89&gt;=VLOOKUP($B89,Ref_Acuerdos!$A:$E,3,FALSE())),1,0),0)</f>
        <v>0</v>
      </c>
      <c r="I89" s="4" t="n">
        <f aca="false">IFERROR(IF(AND(VLOOKUP($B89,Ref_Acuerdos!$A:$E,2,FALSE())="PTA",$A89&gt;=VLOOKUP($B89,Ref_Acuerdos!$A:$E,3,FALSE())),1,0),0)</f>
        <v>0</v>
      </c>
      <c r="J89" s="7" t="str">
        <f aca="false">IFERROR(IF($A89&gt;=VLOOKUP($B89,Ref_Acuerdos!$A:$E,3,FALSE()),VLOOKUP($B89,Ref_Acuerdos!$A:$E,4,FALSE()),""),"")</f>
        <v/>
      </c>
      <c r="K89" s="4" t="str">
        <f aca="false">IFERROR(IF($A89&gt;=VLOOKUP($B89,Ref_Acuerdos!$A:$E,3,FALSE()),VLOOKUP($B89,Ref_Acuerdos!$A:$E,5,FALSE()),"Sin FTA/PTA vigente ese año - arancel NMF"),"Sin FTA/PTA identificado - arancel NMF")</f>
        <v>Sin FTA/PTA identificado - arancel NMF</v>
      </c>
    </row>
    <row r="90" customFormat="false" ht="15" hidden="false" customHeight="false" outlineLevel="0" collapsed="false">
      <c r="A90" s="2" t="n">
        <v>2010</v>
      </c>
      <c r="B90" s="2" t="s">
        <v>37</v>
      </c>
      <c r="C90" s="4" t="str">
        <f aca="false">IFERROR(VLOOKUP($B90,Ref_Continente!$A:$B,2,FALSE()),"Sin clasificar")</f>
        <v>North America</v>
      </c>
      <c r="D90" s="5" t="n">
        <v>12204</v>
      </c>
      <c r="E90" s="6" t="n">
        <v>2377</v>
      </c>
      <c r="F90" s="6" t="n">
        <v>2200</v>
      </c>
      <c r="G90" s="5" t="n">
        <v>53801053352.5</v>
      </c>
      <c r="H90" s="4" t="n">
        <f aca="false">IFERROR(IF(AND(VLOOKUP($B90,Ref_Acuerdos!$A:$E,2,FALSE())="FTA",$A90&gt;=VLOOKUP($B90,Ref_Acuerdos!$A:$E,3,FALSE())),1,0),0)</f>
        <v>0</v>
      </c>
      <c r="I90" s="4" t="n">
        <f aca="false">IFERROR(IF(AND(VLOOKUP($B90,Ref_Acuerdos!$A:$E,2,FALSE())="PTA",$A90&gt;=VLOOKUP($B90,Ref_Acuerdos!$A:$E,3,FALSE())),1,0),0)</f>
        <v>0</v>
      </c>
      <c r="J90" s="7" t="str">
        <f aca="false">IFERROR(IF($A90&gt;=VLOOKUP($B90,Ref_Acuerdos!$A:$E,3,FALSE()),VLOOKUP($B90,Ref_Acuerdos!$A:$E,4,FALSE()),""),"")</f>
        <v/>
      </c>
      <c r="K90" s="4" t="str">
        <f aca="false">IFERROR(IF($A90&gt;=VLOOKUP($B90,Ref_Acuerdos!$A:$E,3,FALSE()),VLOOKUP($B90,Ref_Acuerdos!$A:$E,5,FALSE()),"Sin FTA/PTA vigente ese año - arancel NMF"),"Sin FTA/PTA identificado - arancel NMF")</f>
        <v>Sin FTA/PTA identificado - arancel NMF</v>
      </c>
    </row>
    <row r="91" customFormat="false" ht="15" hidden="false" customHeight="false" outlineLevel="0" collapsed="false">
      <c r="A91" s="2" t="n">
        <v>2010</v>
      </c>
      <c r="B91" s="2" t="s">
        <v>44</v>
      </c>
      <c r="C91" s="4" t="str">
        <f aca="false">IFERROR(VLOOKUP($B91,Ref_Continente!$A:$B,2,FALSE()),"Sin clasificar")</f>
        <v>Asia</v>
      </c>
      <c r="D91" s="5" t="n">
        <v>11614</v>
      </c>
      <c r="E91" s="6" t="n">
        <v>1826</v>
      </c>
      <c r="F91" s="6" t="n">
        <v>11600</v>
      </c>
      <c r="G91" s="5" t="n">
        <v>12426907967.16</v>
      </c>
      <c r="H91" s="4" t="n">
        <f aca="false">IFERROR(IF(AND(VLOOKUP($B91,Ref_Acuerdos!$A:$E,2,FALSE())="FTA",$A91&gt;=VLOOKUP($B91,Ref_Acuerdos!$A:$E,3,FALSE())),1,0),0)</f>
        <v>0</v>
      </c>
      <c r="I91" s="4" t="n">
        <f aca="false">IFERROR(IF(AND(VLOOKUP($B91,Ref_Acuerdos!$A:$E,2,FALSE())="PTA",$A91&gt;=VLOOKUP($B91,Ref_Acuerdos!$A:$E,3,FALSE())),1,0),0)</f>
        <v>0</v>
      </c>
      <c r="J91" s="7" t="str">
        <f aca="false">IFERROR(IF($A91&gt;=VLOOKUP($B91,Ref_Acuerdos!$A:$E,3,FALSE()),VLOOKUP($B91,Ref_Acuerdos!$A:$E,4,FALSE()),""),"")</f>
        <v/>
      </c>
      <c r="K91" s="4" t="str">
        <f aca="false">IFERROR(IF($A91&gt;=VLOOKUP($B91,Ref_Acuerdos!$A:$E,3,FALSE()),VLOOKUP($B91,Ref_Acuerdos!$A:$E,5,FALSE()),"Sin FTA/PTA vigente ese año - arancel NMF"),"Sin FTA/PTA identificado - arancel NMF")</f>
        <v>Sin FTA/PTA identificado - arancel NMF</v>
      </c>
    </row>
    <row r="92" customFormat="false" ht="15" hidden="false" customHeight="false" outlineLevel="0" collapsed="false">
      <c r="A92" s="2" t="n">
        <v>2010</v>
      </c>
      <c r="B92" s="2" t="s">
        <v>6</v>
      </c>
      <c r="C92" s="4" t="str">
        <f aca="false">IFERROR(VLOOKUP($B92,Ref_Continente!$A:$B,2,FALSE()),"Sin clasificar")</f>
        <v>South America</v>
      </c>
      <c r="D92" s="5" t="n">
        <v>10351</v>
      </c>
      <c r="E92" s="6" t="n">
        <v>3214</v>
      </c>
      <c r="F92" s="6" t="n">
        <v>4320</v>
      </c>
      <c r="G92" s="5" t="n">
        <v>423627422092.49</v>
      </c>
      <c r="H92" s="4" t="n">
        <f aca="false">IFERROR(IF(AND(VLOOKUP($B92,Ref_Acuerdos!$A:$E,2,FALSE())="FTA",$A92&gt;=VLOOKUP($B92,Ref_Acuerdos!$A:$E,3,FALSE())),1,0),0)</f>
        <v>0</v>
      </c>
      <c r="I92" s="4" t="n">
        <f aca="false">IFERROR(IF(AND(VLOOKUP($B92,Ref_Acuerdos!$A:$E,2,FALSE())="PTA",$A92&gt;=VLOOKUP($B92,Ref_Acuerdos!$A:$E,3,FALSE())),1,0),0)</f>
        <v>1</v>
      </c>
      <c r="J92" s="7" t="n">
        <f aca="false">IFERROR(IF($A92&gt;=VLOOKUP($B92,Ref_Acuerdos!$A:$E,3,FALSE()),VLOOKUP($B92,Ref_Acuerdos!$A:$E,4,FALSE()),""),"")</f>
        <v>5</v>
      </c>
      <c r="K92" s="4" t="str">
        <f aca="false">IFERROR(IF($A92&gt;=VLOOKUP($B92,Ref_Acuerdos!$A:$E,3,FALSE()),VLOOKUP($B92,Ref_Acuerdos!$A:$E,5,FALSE()),"Sin FTA/PTA vigente ese año - arancel NMF"),"Sin FTA/PTA identificado - arancel NMF")</f>
        <v>Ecuador-Mercosur ACE 59 - preferencias parciales (tarifa referencial)</v>
      </c>
    </row>
    <row r="93" customFormat="false" ht="15" hidden="false" customHeight="false" outlineLevel="0" collapsed="false">
      <c r="A93" s="2" t="n">
        <v>2010</v>
      </c>
      <c r="B93" s="2" t="s">
        <v>107</v>
      </c>
      <c r="C93" s="4" t="str">
        <f aca="false">IFERROR(VLOOKUP($B93,Ref_Continente!$A:$B,2,FALSE()),"Sin clasificar")</f>
        <v>Europe</v>
      </c>
      <c r="D93" s="5" t="n">
        <v>10030</v>
      </c>
      <c r="E93" s="6" t="n">
        <v>2042</v>
      </c>
      <c r="F93" s="6" t="n">
        <v>10000</v>
      </c>
      <c r="G93" s="5" t="n">
        <v>492750897239.45</v>
      </c>
      <c r="H93" s="4" t="n">
        <f aca="false">IFERROR(IF(AND(VLOOKUP($B93,Ref_Acuerdos!$A:$E,2,FALSE())="FTA",$A93&gt;=VLOOKUP($B93,Ref_Acuerdos!$A:$E,3,FALSE())),1,0),0)</f>
        <v>0</v>
      </c>
      <c r="I93" s="4" t="n">
        <f aca="false">IFERROR(IF(AND(VLOOKUP($B93,Ref_Acuerdos!$A:$E,2,FALSE())="PTA",$A93&gt;=VLOOKUP($B93,Ref_Acuerdos!$A:$E,3,FALSE())),1,0),0)</f>
        <v>0</v>
      </c>
      <c r="J93" s="7" t="str">
        <f aca="false">IFERROR(IF($A93&gt;=VLOOKUP($B93,Ref_Acuerdos!$A:$E,3,FALSE()),VLOOKUP($B93,Ref_Acuerdos!$A:$E,4,FALSE()),""),"")</f>
        <v/>
      </c>
      <c r="K93" s="4" t="str">
        <f aca="false">IFERROR(IF($A93&gt;=VLOOKUP($B93,Ref_Acuerdos!$A:$E,3,FALSE()),VLOOKUP($B93,Ref_Acuerdos!$A:$E,5,FALSE()),"Sin FTA/PTA vigente ese año - arancel NMF"),"Sin FTA/PTA identificado - arancel NMF")</f>
        <v>Sin FTA/PTA vigente ese año - arancel NMF</v>
      </c>
    </row>
    <row r="94" customFormat="false" ht="15" hidden="false" customHeight="false" outlineLevel="0" collapsed="false">
      <c r="A94" s="2" t="n">
        <v>2010</v>
      </c>
      <c r="B94" s="2" t="s">
        <v>116</v>
      </c>
      <c r="C94" s="4" t="str">
        <f aca="false">IFERROR(VLOOKUP($B94,Ref_Continente!$A:$B,2,FALSE()),"Sin clasificar")</f>
        <v>Asia</v>
      </c>
      <c r="D94" s="5" t="n">
        <v>9270</v>
      </c>
      <c r="E94" s="6" t="n">
        <v>1683</v>
      </c>
      <c r="F94" s="6" t="n">
        <v>14200</v>
      </c>
      <c r="G94" s="5" t="n">
        <v>307736419332.88</v>
      </c>
      <c r="H94" s="4" t="n">
        <f aca="false">IFERROR(IF(AND(VLOOKUP($B94,Ref_Acuerdos!$A:$E,2,FALSE())="FTA",$A94&gt;=VLOOKUP($B94,Ref_Acuerdos!$A:$E,3,FALSE())),1,0),0)</f>
        <v>0</v>
      </c>
      <c r="I94" s="4" t="n">
        <f aca="false">IFERROR(IF(AND(VLOOKUP($B94,Ref_Acuerdos!$A:$E,2,FALSE())="PTA",$A94&gt;=VLOOKUP($B94,Ref_Acuerdos!$A:$E,3,FALSE())),1,0),0)</f>
        <v>0</v>
      </c>
      <c r="J94" s="7" t="str">
        <f aca="false">IFERROR(IF($A94&gt;=VLOOKUP($B94,Ref_Acuerdos!$A:$E,3,FALSE()),VLOOKUP($B94,Ref_Acuerdos!$A:$E,4,FALSE()),""),"")</f>
        <v/>
      </c>
      <c r="K94" s="4" t="str">
        <f aca="false">IFERROR(IF($A94&gt;=VLOOKUP($B94,Ref_Acuerdos!$A:$E,3,FALSE()),VLOOKUP($B94,Ref_Acuerdos!$A:$E,5,FALSE()),"Sin FTA/PTA vigente ese año - arancel NMF"),"Sin FTA/PTA identificado - arancel NMF")</f>
        <v>Sin FTA/PTA identificado - arancel NMF</v>
      </c>
    </row>
    <row r="95" customFormat="false" ht="15" hidden="false" customHeight="false" outlineLevel="0" collapsed="false">
      <c r="A95" s="2" t="n">
        <v>2010</v>
      </c>
      <c r="B95" s="2" t="s">
        <v>89</v>
      </c>
      <c r="C95" s="4" t="str">
        <f aca="false">IFERROR(VLOOKUP($B95,Ref_Continente!$A:$B,2,FALSE()),"Sin clasificar")</f>
        <v>Asia</v>
      </c>
      <c r="D95" s="5" t="n">
        <v>7742</v>
      </c>
      <c r="E95" s="6" t="n">
        <v>1641</v>
      </c>
      <c r="F95" s="6" t="n">
        <v>17800</v>
      </c>
      <c r="G95" s="5" t="n">
        <v>208368893151.14</v>
      </c>
      <c r="H95" s="4" t="n">
        <f aca="false">IFERROR(IF(AND(VLOOKUP($B95,Ref_Acuerdos!$A:$E,2,FALSE())="FTA",$A95&gt;=VLOOKUP($B95,Ref_Acuerdos!$A:$E,3,FALSE())),1,0),0)</f>
        <v>0</v>
      </c>
      <c r="I95" s="4" t="n">
        <f aca="false">IFERROR(IF(AND(VLOOKUP($B95,Ref_Acuerdos!$A:$E,2,FALSE())="PTA",$A95&gt;=VLOOKUP($B95,Ref_Acuerdos!$A:$E,3,FALSE())),1,0),0)</f>
        <v>0</v>
      </c>
      <c r="J95" s="7" t="str">
        <f aca="false">IFERROR(IF($A95&gt;=VLOOKUP($B95,Ref_Acuerdos!$A:$E,3,FALSE()),VLOOKUP($B95,Ref_Acuerdos!$A:$E,4,FALSE()),""),"")</f>
        <v/>
      </c>
      <c r="K95" s="4" t="str">
        <f aca="false">IFERROR(IF($A95&gt;=VLOOKUP($B95,Ref_Acuerdos!$A:$E,3,FALSE()),VLOOKUP($B95,Ref_Acuerdos!$A:$E,5,FALSE()),"Sin FTA/PTA vigente ese año - arancel NMF"),"Sin FTA/PTA identificado - arancel NMF")</f>
        <v>Sin FTA/PTA identificado - arancel NMF</v>
      </c>
    </row>
    <row r="96" customFormat="false" ht="15" hidden="false" customHeight="false" outlineLevel="0" collapsed="false">
      <c r="A96" s="2" t="n">
        <v>2010</v>
      </c>
      <c r="B96" s="2" t="s">
        <v>64</v>
      </c>
      <c r="C96" s="4" t="str">
        <f aca="false">IFERROR(VLOOKUP($B96,Ref_Continente!$A:$B,2,FALSE()),"Sin clasificar")</f>
        <v>Asia</v>
      </c>
      <c r="D96" s="5" t="n">
        <v>5495</v>
      </c>
      <c r="E96" s="6" t="n">
        <v>1142</v>
      </c>
      <c r="F96" s="6" t="n">
        <v>13500</v>
      </c>
      <c r="G96" s="5" t="n">
        <v>115416245241.74</v>
      </c>
      <c r="H96" s="4" t="n">
        <f aca="false">IFERROR(IF(AND(VLOOKUP($B96,Ref_Acuerdos!$A:$E,2,FALSE())="FTA",$A96&gt;=VLOOKUP($B96,Ref_Acuerdos!$A:$E,3,FALSE())),1,0),0)</f>
        <v>0</v>
      </c>
      <c r="I96" s="4" t="n">
        <f aca="false">IFERROR(IF(AND(VLOOKUP($B96,Ref_Acuerdos!$A:$E,2,FALSE())="PTA",$A96&gt;=VLOOKUP($B96,Ref_Acuerdos!$A:$E,3,FALSE())),1,0),0)</f>
        <v>0</v>
      </c>
      <c r="J96" s="7" t="str">
        <f aca="false">IFERROR(IF($A96&gt;=VLOOKUP($B96,Ref_Acuerdos!$A:$E,3,FALSE()),VLOOKUP($B96,Ref_Acuerdos!$A:$E,4,FALSE()),""),"")</f>
        <v/>
      </c>
      <c r="K96" s="4" t="str">
        <f aca="false">IFERROR(IF($A96&gt;=VLOOKUP($B96,Ref_Acuerdos!$A:$E,3,FALSE()),VLOOKUP($B96,Ref_Acuerdos!$A:$E,5,FALSE()),"Sin FTA/PTA vigente ese año - arancel NMF"),"Sin FTA/PTA identificado - arancel NMF")</f>
        <v>Sin FTA/PTA identificado - arancel NMF</v>
      </c>
    </row>
    <row r="97" customFormat="false" ht="15" hidden="false" customHeight="false" outlineLevel="0" collapsed="false">
      <c r="A97" s="2" t="n">
        <v>2010</v>
      </c>
      <c r="B97" s="2" t="s">
        <v>94</v>
      </c>
      <c r="C97" s="4" t="str">
        <f aca="false">IFERROR(VLOOKUP($B97,Ref_Continente!$A:$B,2,FALSE()),"Sin clasificar")</f>
        <v>Europe</v>
      </c>
      <c r="D97" s="5" t="n">
        <v>4650</v>
      </c>
      <c r="E97" s="6" t="n">
        <v>995</v>
      </c>
      <c r="F97" s="6" t="n">
        <v>11000</v>
      </c>
      <c r="G97" s="5" t="n">
        <v>6974982369.6</v>
      </c>
      <c r="H97" s="4" t="n">
        <f aca="false">IFERROR(IF(AND(VLOOKUP($B97,Ref_Acuerdos!$A:$E,2,FALSE())="FTA",$A97&gt;=VLOOKUP($B97,Ref_Acuerdos!$A:$E,3,FALSE())),1,0),0)</f>
        <v>0</v>
      </c>
      <c r="I97" s="4" t="n">
        <f aca="false">IFERROR(IF(AND(VLOOKUP($B97,Ref_Acuerdos!$A:$E,2,FALSE())="PTA",$A97&gt;=VLOOKUP($B97,Ref_Acuerdos!$A:$E,3,FALSE())),1,0),0)</f>
        <v>0</v>
      </c>
      <c r="J97" s="7" t="str">
        <f aca="false">IFERROR(IF($A97&gt;=VLOOKUP($B97,Ref_Acuerdos!$A:$E,3,FALSE()),VLOOKUP($B97,Ref_Acuerdos!$A:$E,4,FALSE()),""),"")</f>
        <v/>
      </c>
      <c r="K97" s="4" t="str">
        <f aca="false">IFERROR(IF($A97&gt;=VLOOKUP($B97,Ref_Acuerdos!$A:$E,3,FALSE()),VLOOKUP($B97,Ref_Acuerdos!$A:$E,5,FALSE()),"Sin FTA/PTA vigente ese año - arancel NMF"),"Sin FTA/PTA identificado - arancel NMF")</f>
        <v>Sin FTA/PTA identificado - arancel NMF</v>
      </c>
    </row>
    <row r="98" customFormat="false" ht="15" hidden="false" customHeight="false" outlineLevel="0" collapsed="false">
      <c r="A98" s="2" t="n">
        <v>2010</v>
      </c>
      <c r="B98" s="2" t="s">
        <v>66</v>
      </c>
      <c r="C98" s="4" t="str">
        <f aca="false">IFERROR(VLOOKUP($B98,Ref_Continente!$A:$B,2,FALSE()),"Sin clasificar")</f>
        <v>Europe</v>
      </c>
      <c r="D98" s="5" t="n">
        <v>4624</v>
      </c>
      <c r="E98" s="6" t="n">
        <v>892</v>
      </c>
      <c r="F98" s="6" t="n">
        <v>10400</v>
      </c>
      <c r="G98" s="5" t="n">
        <v>23468324572.33</v>
      </c>
      <c r="H98" s="4" t="n">
        <f aca="false">IFERROR(IF(AND(VLOOKUP($B98,Ref_Acuerdos!$A:$E,2,FALSE())="FTA",$A98&gt;=VLOOKUP($B98,Ref_Acuerdos!$A:$E,3,FALSE())),1,0),0)</f>
        <v>0</v>
      </c>
      <c r="I98" s="4" t="n">
        <f aca="false">IFERROR(IF(AND(VLOOKUP($B98,Ref_Acuerdos!$A:$E,2,FALSE())="PTA",$A98&gt;=VLOOKUP($B98,Ref_Acuerdos!$A:$E,3,FALSE())),1,0),0)</f>
        <v>0</v>
      </c>
      <c r="J98" s="7" t="str">
        <f aca="false">IFERROR(IF($A98&gt;=VLOOKUP($B98,Ref_Acuerdos!$A:$E,3,FALSE()),VLOOKUP($B98,Ref_Acuerdos!$A:$E,4,FALSE()),""),"")</f>
        <v/>
      </c>
      <c r="K98" s="4" t="str">
        <f aca="false">IFERROR(IF($A98&gt;=VLOOKUP($B98,Ref_Acuerdos!$A:$E,3,FALSE()),VLOOKUP($B98,Ref_Acuerdos!$A:$E,5,FALSE()),"Sin FTA/PTA vigente ese año - arancel NMF"),"Sin FTA/PTA identificado - arancel NMF")</f>
        <v>Sin FTA/PTA vigente ese año - arancel NMF</v>
      </c>
    </row>
    <row r="99" customFormat="false" ht="15" hidden="false" customHeight="false" outlineLevel="0" collapsed="false">
      <c r="A99" s="2" t="n">
        <v>2010</v>
      </c>
      <c r="B99" s="2" t="s">
        <v>91</v>
      </c>
      <c r="C99" s="4" t="str">
        <f aca="false">IFERROR(VLOOKUP($B99,Ref_Continente!$A:$B,2,FALSE()),"Sin clasificar")</f>
        <v>Europe</v>
      </c>
      <c r="D99" s="5" t="n">
        <v>2771</v>
      </c>
      <c r="E99" s="6" t="n">
        <v>495</v>
      </c>
      <c r="F99" s="6" t="n">
        <v>8700</v>
      </c>
      <c r="G99" s="5" t="n">
        <v>238443864993.22</v>
      </c>
      <c r="H99" s="4" t="n">
        <f aca="false">IFERROR(IF(AND(VLOOKUP($B99,Ref_Acuerdos!$A:$E,2,FALSE())="FTA",$A99&gt;=VLOOKUP($B99,Ref_Acuerdos!$A:$E,3,FALSE())),1,0),0)</f>
        <v>0</v>
      </c>
      <c r="I99" s="4" t="n">
        <f aca="false">IFERROR(IF(AND(VLOOKUP($B99,Ref_Acuerdos!$A:$E,2,FALSE())="PTA",$A99&gt;=VLOOKUP($B99,Ref_Acuerdos!$A:$E,3,FALSE())),1,0),0)</f>
        <v>0</v>
      </c>
      <c r="J99" s="7" t="str">
        <f aca="false">IFERROR(IF($A99&gt;=VLOOKUP($B99,Ref_Acuerdos!$A:$E,3,FALSE()),VLOOKUP($B99,Ref_Acuerdos!$A:$E,4,FALSE()),""),"")</f>
        <v/>
      </c>
      <c r="K99" s="4" t="str">
        <f aca="false">IFERROR(IF($A99&gt;=VLOOKUP($B99,Ref_Acuerdos!$A:$E,3,FALSE()),VLOOKUP($B99,Ref_Acuerdos!$A:$E,5,FALSE()),"Sin FTA/PTA vigente ese año - arancel NMF"),"Sin FTA/PTA identificado - arancel NMF")</f>
        <v>Sin FTA/PTA vigente ese año - arancel NMF</v>
      </c>
    </row>
    <row r="100" customFormat="false" ht="15" hidden="false" customHeight="false" outlineLevel="0" collapsed="false">
      <c r="A100" s="2" t="n">
        <v>2010</v>
      </c>
      <c r="B100" s="2" t="s">
        <v>90</v>
      </c>
      <c r="C100" s="4" t="str">
        <f aca="false">IFERROR(VLOOKUP($B100,Ref_Continente!$A:$B,2,FALSE()),"Sin clasificar")</f>
        <v>Europe</v>
      </c>
      <c r="D100" s="5" t="n">
        <v>2730</v>
      </c>
      <c r="E100" s="6" t="n">
        <v>473</v>
      </c>
      <c r="F100" s="6" t="n">
        <v>10300</v>
      </c>
      <c r="G100" s="5" t="n">
        <v>478111630683.51</v>
      </c>
      <c r="H100" s="4" t="n">
        <f aca="false">IFERROR(IF(AND(VLOOKUP($B100,Ref_Acuerdos!$A:$E,2,FALSE())="FTA",$A100&gt;=VLOOKUP($B100,Ref_Acuerdos!$A:$E,3,FALSE())),1,0),0)</f>
        <v>0</v>
      </c>
      <c r="I100" s="4" t="n">
        <f aca="false">IFERROR(IF(AND(VLOOKUP($B100,Ref_Acuerdos!$A:$E,2,FALSE())="PTA",$A100&gt;=VLOOKUP($B100,Ref_Acuerdos!$A:$E,3,FALSE())),1,0),0)</f>
        <v>0</v>
      </c>
      <c r="J100" s="7" t="str">
        <f aca="false">IFERROR(IF($A100&gt;=VLOOKUP($B100,Ref_Acuerdos!$A:$E,3,FALSE()),VLOOKUP($B100,Ref_Acuerdos!$A:$E,4,FALSE()),""),"")</f>
        <v/>
      </c>
      <c r="K100" s="4" t="str">
        <f aca="false">IFERROR(IF($A100&gt;=VLOOKUP($B100,Ref_Acuerdos!$A:$E,3,FALSE()),VLOOKUP($B100,Ref_Acuerdos!$A:$E,5,FALSE()),"Sin FTA/PTA vigente ese año - arancel NMF"),"Sin FTA/PTA identificado - arancel NMF")</f>
        <v>Sin FTA/PTA vigente ese año - arancel NMF</v>
      </c>
    </row>
    <row r="101" customFormat="false" ht="15" hidden="false" customHeight="false" outlineLevel="0" collapsed="false">
      <c r="A101" s="2" t="n">
        <v>2010</v>
      </c>
      <c r="B101" s="2" t="s">
        <v>28</v>
      </c>
      <c r="C101" s="4" t="str">
        <f aca="false">IFERROR(VLOOKUP($B101,Ref_Continente!$A:$B,2,FALSE()),"Sin clasificar")</f>
        <v>Asia</v>
      </c>
      <c r="D101" s="5" t="n">
        <v>2620</v>
      </c>
      <c r="E101" s="6" t="n">
        <v>538</v>
      </c>
      <c r="F101" s="6" t="n">
        <v>17700</v>
      </c>
      <c r="G101" s="5" t="n">
        <v>228638668727.29</v>
      </c>
      <c r="H101" s="4" t="n">
        <f aca="false">IFERROR(IF(AND(VLOOKUP($B101,Ref_Acuerdos!$A:$E,2,FALSE())="FTA",$A101&gt;=VLOOKUP($B101,Ref_Acuerdos!$A:$E,3,FALSE())),1,0),0)</f>
        <v>0</v>
      </c>
      <c r="I101" s="4" t="n">
        <f aca="false">IFERROR(IF(AND(VLOOKUP($B101,Ref_Acuerdos!$A:$E,2,FALSE())="PTA",$A101&gt;=VLOOKUP($B101,Ref_Acuerdos!$A:$E,3,FALSE())),1,0),0)</f>
        <v>0</v>
      </c>
      <c r="J101" s="7" t="str">
        <f aca="false">IFERROR(IF($A101&gt;=VLOOKUP($B101,Ref_Acuerdos!$A:$E,3,FALSE()),VLOOKUP($B101,Ref_Acuerdos!$A:$E,4,FALSE()),""),"")</f>
        <v/>
      </c>
      <c r="K101" s="4" t="str">
        <f aca="false">IFERROR(IF($A101&gt;=VLOOKUP($B101,Ref_Acuerdos!$A:$E,3,FALSE()),VLOOKUP($B101,Ref_Acuerdos!$A:$E,5,FALSE()),"Sin FTA/PTA vigente ese año - arancel NMF"),"Sin FTA/PTA identificado - arancel NMF")</f>
        <v>Sin FTA/PTA identificado - arancel NMF</v>
      </c>
    </row>
    <row r="102" customFormat="false" ht="15" hidden="false" customHeight="false" outlineLevel="0" collapsed="false">
      <c r="A102" s="2" t="n">
        <v>2010</v>
      </c>
      <c r="B102" s="2" t="s">
        <v>14</v>
      </c>
      <c r="C102" s="4" t="str">
        <f aca="false">IFERROR(VLOOKUP($B102,Ref_Continente!$A:$B,2,FALSE()),"Sin clasificar")</f>
        <v>Europe</v>
      </c>
      <c r="D102" s="5" t="n">
        <v>2511</v>
      </c>
      <c r="E102" s="6" t="n">
        <v>444</v>
      </c>
      <c r="F102" s="6" t="n">
        <v>10050</v>
      </c>
      <c r="G102" s="5" t="n">
        <v>389827789217.63</v>
      </c>
      <c r="H102" s="4" t="n">
        <f aca="false">IFERROR(IF(AND(VLOOKUP($B102,Ref_Acuerdos!$A:$E,2,FALSE())="FTA",$A102&gt;=VLOOKUP($B102,Ref_Acuerdos!$A:$E,3,FALSE())),1,0),0)</f>
        <v>0</v>
      </c>
      <c r="I102" s="4" t="n">
        <f aca="false">IFERROR(IF(AND(VLOOKUP($B102,Ref_Acuerdos!$A:$E,2,FALSE())="PTA",$A102&gt;=VLOOKUP($B102,Ref_Acuerdos!$A:$E,3,FALSE())),1,0),0)</f>
        <v>0</v>
      </c>
      <c r="J102" s="7" t="str">
        <f aca="false">IFERROR(IF($A102&gt;=VLOOKUP($B102,Ref_Acuerdos!$A:$E,3,FALSE()),VLOOKUP($B102,Ref_Acuerdos!$A:$E,4,FALSE()),""),"")</f>
        <v/>
      </c>
      <c r="K102" s="4" t="str">
        <f aca="false">IFERROR(IF($A102&gt;=VLOOKUP($B102,Ref_Acuerdos!$A:$E,3,FALSE()),VLOOKUP($B102,Ref_Acuerdos!$A:$E,5,FALSE()),"Sin FTA/PTA vigente ese año - arancel NMF"),"Sin FTA/PTA identificado - arancel NMF")</f>
        <v>Sin FTA/PTA vigente ese año - arancel NMF</v>
      </c>
    </row>
    <row r="103" customFormat="false" ht="15" hidden="false" customHeight="false" outlineLevel="0" collapsed="false">
      <c r="A103" s="2" t="n">
        <v>2010</v>
      </c>
      <c r="B103" s="2" t="s">
        <v>39</v>
      </c>
      <c r="C103" s="4" t="str">
        <f aca="false">IFERROR(VLOOKUP($B103,Ref_Continente!$A:$B,2,FALSE()),"Sin clasificar")</f>
        <v>North America</v>
      </c>
      <c r="D103" s="5" t="n">
        <v>1748</v>
      </c>
      <c r="E103" s="6" t="n">
        <v>136</v>
      </c>
      <c r="F103" s="6" t="n">
        <v>2000</v>
      </c>
      <c r="G103" s="5" t="n">
        <v>18447920000</v>
      </c>
      <c r="H103" s="4" t="n">
        <f aca="false">IFERROR(IF(AND(VLOOKUP($B103,Ref_Acuerdos!$A:$E,2,FALSE())="FTA",$A103&gt;=VLOOKUP($B103,Ref_Acuerdos!$A:$E,3,FALSE())),1,0),0)</f>
        <v>0</v>
      </c>
      <c r="I103" s="4" t="n">
        <f aca="false">IFERROR(IF(AND(VLOOKUP($B103,Ref_Acuerdos!$A:$E,2,FALSE())="PTA",$A103&gt;=VLOOKUP($B103,Ref_Acuerdos!$A:$E,3,FALSE())),1,0),0)</f>
        <v>0</v>
      </c>
      <c r="J103" s="7" t="str">
        <f aca="false">IFERROR(IF($A103&gt;=VLOOKUP($B103,Ref_Acuerdos!$A:$E,3,FALSE()),VLOOKUP($B103,Ref_Acuerdos!$A:$E,4,FALSE()),""),"")</f>
        <v/>
      </c>
      <c r="K103" s="4" t="str">
        <f aca="false">IFERROR(IF($A103&gt;=VLOOKUP($B103,Ref_Acuerdos!$A:$E,3,FALSE()),VLOOKUP($B103,Ref_Acuerdos!$A:$E,5,FALSE()),"Sin FTA/PTA vigente ese año - arancel NMF"),"Sin FTA/PTA identificado - arancel NMF")</f>
        <v>Sin FTA/PTA identificado - arancel NMF</v>
      </c>
    </row>
    <row r="104" customFormat="false" ht="15" hidden="false" customHeight="false" outlineLevel="0" collapsed="false">
      <c r="A104" s="2" t="n">
        <v>2010</v>
      </c>
      <c r="B104" s="2" t="s">
        <v>18</v>
      </c>
      <c r="C104" s="4" t="str">
        <f aca="false">IFERROR(VLOOKUP($B104,Ref_Continente!$A:$B,2,FALSE()),"Sin clasificar")</f>
        <v>Asia</v>
      </c>
      <c r="D104" s="5" t="n">
        <v>1642</v>
      </c>
      <c r="E104" s="6" t="n">
        <v>588</v>
      </c>
      <c r="F104" s="6" t="n">
        <v>13800</v>
      </c>
      <c r="G104" s="5" t="n">
        <v>26805984042.55</v>
      </c>
      <c r="H104" s="4" t="n">
        <f aca="false">IFERROR(IF(AND(VLOOKUP($B104,Ref_Acuerdos!$A:$E,2,FALSE())="FTA",$A104&gt;=VLOOKUP($B104,Ref_Acuerdos!$A:$E,3,FALSE())),1,0),0)</f>
        <v>0</v>
      </c>
      <c r="I104" s="4" t="n">
        <f aca="false">IFERROR(IF(AND(VLOOKUP($B104,Ref_Acuerdos!$A:$E,2,FALSE())="PTA",$A104&gt;=VLOOKUP($B104,Ref_Acuerdos!$A:$E,3,FALSE())),1,0),0)</f>
        <v>0</v>
      </c>
      <c r="J104" s="7" t="str">
        <f aca="false">IFERROR(IF($A104&gt;=VLOOKUP($B104,Ref_Acuerdos!$A:$E,3,FALSE()),VLOOKUP($B104,Ref_Acuerdos!$A:$E,4,FALSE()),""),"")</f>
        <v/>
      </c>
      <c r="K104" s="4" t="str">
        <f aca="false">IFERROR(IF($A104&gt;=VLOOKUP($B104,Ref_Acuerdos!$A:$E,3,FALSE()),VLOOKUP($B104,Ref_Acuerdos!$A:$E,5,FALSE()),"Sin FTA/PTA vigente ese año - arancel NMF"),"Sin FTA/PTA identificado - arancel NMF")</f>
        <v>Sin FTA/PTA identificado - arancel NMF</v>
      </c>
    </row>
    <row r="105" customFormat="false" ht="15" hidden="false" customHeight="false" outlineLevel="0" collapsed="false">
      <c r="A105" s="2" t="n">
        <v>2010</v>
      </c>
      <c r="B105" s="2" t="s">
        <v>68</v>
      </c>
      <c r="C105" s="4" t="str">
        <f aca="false">IFERROR(VLOOKUP($B105,Ref_Continente!$A:$B,2,FALSE()),"Sin clasificar")</f>
        <v>Europe</v>
      </c>
      <c r="D105" s="5" t="n">
        <v>1132</v>
      </c>
      <c r="E105" s="6" t="n">
        <v>200</v>
      </c>
      <c r="F105" s="6" t="n">
        <v>10250</v>
      </c>
      <c r="G105" s="5" t="n">
        <v>36638128534.06</v>
      </c>
      <c r="H105" s="4" t="n">
        <f aca="false">IFERROR(IF(AND(VLOOKUP($B105,Ref_Acuerdos!$A:$E,2,FALSE())="FTA",$A105&gt;=VLOOKUP($B105,Ref_Acuerdos!$A:$E,3,FALSE())),1,0),0)</f>
        <v>0</v>
      </c>
      <c r="I105" s="4" t="n">
        <f aca="false">IFERROR(IF(AND(VLOOKUP($B105,Ref_Acuerdos!$A:$E,2,FALSE())="PTA",$A105&gt;=VLOOKUP($B105,Ref_Acuerdos!$A:$E,3,FALSE())),1,0),0)</f>
        <v>0</v>
      </c>
      <c r="J105" s="7" t="str">
        <f aca="false">IFERROR(IF($A105&gt;=VLOOKUP($B105,Ref_Acuerdos!$A:$E,3,FALSE()),VLOOKUP($B105,Ref_Acuerdos!$A:$E,4,FALSE()),""),"")</f>
        <v/>
      </c>
      <c r="K105" s="4" t="str">
        <f aca="false">IFERROR(IF($A105&gt;=VLOOKUP($B105,Ref_Acuerdos!$A:$E,3,FALSE()),VLOOKUP($B105,Ref_Acuerdos!$A:$E,5,FALSE()),"Sin FTA/PTA vigente ese año - arancel NMF"),"Sin FTA/PTA identificado - arancel NMF")</f>
        <v>Sin FTA/PTA vigente ese año - arancel NMF</v>
      </c>
    </row>
    <row r="106" customFormat="false" ht="15" hidden="false" customHeight="false" outlineLevel="0" collapsed="false">
      <c r="A106" s="2" t="n">
        <v>2010</v>
      </c>
      <c r="B106" s="2" t="s">
        <v>54</v>
      </c>
      <c r="C106" s="4" t="str">
        <f aca="false">IFERROR(VLOOKUP($B106,Ref_Continente!$A:$B,2,FALSE()),"Sin clasificar")</f>
        <v>Asia</v>
      </c>
      <c r="D106" s="5" t="n">
        <v>788</v>
      </c>
      <c r="E106" s="6" t="n">
        <v>98</v>
      </c>
      <c r="F106" s="6" t="n">
        <v>19300</v>
      </c>
      <c r="G106" s="5" t="n">
        <v>755094157621.94</v>
      </c>
      <c r="H106" s="4" t="n">
        <f aca="false">IFERROR(IF(AND(VLOOKUP($B106,Ref_Acuerdos!$A:$E,2,FALSE())="FTA",$A106&gt;=VLOOKUP($B106,Ref_Acuerdos!$A:$E,3,FALSE())),1,0),0)</f>
        <v>0</v>
      </c>
      <c r="I106" s="4" t="n">
        <f aca="false">IFERROR(IF(AND(VLOOKUP($B106,Ref_Acuerdos!$A:$E,2,FALSE())="PTA",$A106&gt;=VLOOKUP($B106,Ref_Acuerdos!$A:$E,3,FALSE())),1,0),0)</f>
        <v>0</v>
      </c>
      <c r="J106" s="7" t="str">
        <f aca="false">IFERROR(IF($A106&gt;=VLOOKUP($B106,Ref_Acuerdos!$A:$E,3,FALSE()),VLOOKUP($B106,Ref_Acuerdos!$A:$E,4,FALSE()),""),"")</f>
        <v/>
      </c>
      <c r="K106" s="4" t="str">
        <f aca="false">IFERROR(IF($A106&gt;=VLOOKUP($B106,Ref_Acuerdos!$A:$E,3,FALSE()),VLOOKUP($B106,Ref_Acuerdos!$A:$E,5,FALSE()),"Sin FTA/PTA vigente ese año - arancel NMF"),"Sin FTA/PTA identificado - arancel NMF")</f>
        <v>Sin FTA/PTA identificado - arancel NMF</v>
      </c>
    </row>
    <row r="107" customFormat="false" ht="15" hidden="false" customHeight="false" outlineLevel="0" collapsed="false">
      <c r="A107" s="2" t="n">
        <v>2010</v>
      </c>
      <c r="B107" s="2" t="s">
        <v>31</v>
      </c>
      <c r="C107" s="4" t="str">
        <f aca="false">IFERROR(VLOOKUP($B107,Ref_Continente!$A:$B,2,FALSE()),"Sin clasificar")</f>
        <v>Europe</v>
      </c>
      <c r="D107" s="5" t="n">
        <v>773</v>
      </c>
      <c r="E107" s="6" t="n">
        <v>110</v>
      </c>
      <c r="F107" s="6" t="n">
        <v>10400</v>
      </c>
      <c r="G107" s="5" t="n">
        <v>58975205417.34</v>
      </c>
      <c r="H107" s="4" t="n">
        <f aca="false">IFERROR(IF(AND(VLOOKUP($B107,Ref_Acuerdos!$A:$E,2,FALSE())="FTA",$A107&gt;=VLOOKUP($B107,Ref_Acuerdos!$A:$E,3,FALSE())),1,0),0)</f>
        <v>0</v>
      </c>
      <c r="I107" s="4" t="n">
        <f aca="false">IFERROR(IF(AND(VLOOKUP($B107,Ref_Acuerdos!$A:$E,2,FALSE())="PTA",$A107&gt;=VLOOKUP($B107,Ref_Acuerdos!$A:$E,3,FALSE())),1,0),0)</f>
        <v>0</v>
      </c>
      <c r="J107" s="7" t="str">
        <f aca="false">IFERROR(IF($A107&gt;=VLOOKUP($B107,Ref_Acuerdos!$A:$E,3,FALSE()),VLOOKUP($B107,Ref_Acuerdos!$A:$E,4,FALSE()),""),"")</f>
        <v/>
      </c>
      <c r="K107" s="4" t="str">
        <f aca="false">IFERROR(IF($A107&gt;=VLOOKUP($B107,Ref_Acuerdos!$A:$E,3,FALSE()),VLOOKUP($B107,Ref_Acuerdos!$A:$E,5,FALSE()),"Sin FTA/PTA vigente ese año - arancel NMF"),"Sin FTA/PTA identificado - arancel NMF")</f>
        <v>Sin FTA/PTA vigente ese año - arancel NMF</v>
      </c>
    </row>
    <row r="108" customFormat="false" ht="15" hidden="false" customHeight="false" outlineLevel="0" collapsed="false">
      <c r="A108" s="2" t="n">
        <v>2010</v>
      </c>
      <c r="B108" s="2" t="s">
        <v>35</v>
      </c>
      <c r="C108" s="4" t="str">
        <f aca="false">IFERROR(VLOOKUP($B108,Ref_Continente!$A:$B,2,FALSE()),"Sin clasificar")</f>
        <v>Europe</v>
      </c>
      <c r="D108" s="5" t="n">
        <v>766</v>
      </c>
      <c r="E108" s="6" t="n">
        <v>148</v>
      </c>
      <c r="F108" s="6" t="n">
        <v>10100</v>
      </c>
      <c r="G108" s="5" t="n">
        <v>211168667286.27</v>
      </c>
      <c r="H108" s="4" t="n">
        <f aca="false">IFERROR(IF(AND(VLOOKUP($B108,Ref_Acuerdos!$A:$E,2,FALSE())="FTA",$A108&gt;=VLOOKUP($B108,Ref_Acuerdos!$A:$E,3,FALSE())),1,0),0)</f>
        <v>0</v>
      </c>
      <c r="I108" s="4" t="n">
        <f aca="false">IFERROR(IF(AND(VLOOKUP($B108,Ref_Acuerdos!$A:$E,2,FALSE())="PTA",$A108&gt;=VLOOKUP($B108,Ref_Acuerdos!$A:$E,3,FALSE())),1,0),0)</f>
        <v>0</v>
      </c>
      <c r="J108" s="7" t="str">
        <f aca="false">IFERROR(IF($A108&gt;=VLOOKUP($B108,Ref_Acuerdos!$A:$E,3,FALSE()),VLOOKUP($B108,Ref_Acuerdos!$A:$E,4,FALSE()),""),"")</f>
        <v/>
      </c>
      <c r="K108" s="4" t="str">
        <f aca="false">IFERROR(IF($A108&gt;=VLOOKUP($B108,Ref_Acuerdos!$A:$E,3,FALSE()),VLOOKUP($B108,Ref_Acuerdos!$A:$E,5,FALSE()),"Sin FTA/PTA vigente ese año - arancel NMF"),"Sin FTA/PTA identificado - arancel NMF")</f>
        <v>Sin FTA/PTA vigente ese año - arancel NMF</v>
      </c>
    </row>
    <row r="109" customFormat="false" ht="15" hidden="false" customHeight="false" outlineLevel="0" collapsed="false">
      <c r="A109" s="2" t="n">
        <v>2010</v>
      </c>
      <c r="B109" s="2" t="s">
        <v>109</v>
      </c>
      <c r="C109" s="4" t="str">
        <f aca="false">IFERROR(VLOOKUP($B109,Ref_Continente!$A:$B,2,FALSE()),"Sin clasificar")</f>
        <v>Asia</v>
      </c>
      <c r="D109" s="5" t="n">
        <v>675</v>
      </c>
      <c r="E109" s="6" t="n">
        <v>153</v>
      </c>
      <c r="F109" s="6" t="n">
        <v>14300</v>
      </c>
      <c r="G109" s="5" t="n">
        <v>5642221099.18</v>
      </c>
      <c r="H109" s="4" t="n">
        <f aca="false">IFERROR(IF(AND(VLOOKUP($B109,Ref_Acuerdos!$A:$E,2,FALSE())="FTA",$A109&gt;=VLOOKUP($B109,Ref_Acuerdos!$A:$E,3,FALSE())),1,0),0)</f>
        <v>0</v>
      </c>
      <c r="I109" s="4" t="n">
        <f aca="false">IFERROR(IF(AND(VLOOKUP($B109,Ref_Acuerdos!$A:$E,2,FALSE())="PTA",$A109&gt;=VLOOKUP($B109,Ref_Acuerdos!$A:$E,3,FALSE())),1,0),0)</f>
        <v>0</v>
      </c>
      <c r="J109" s="7" t="str">
        <f aca="false">IFERROR(IF($A109&gt;=VLOOKUP($B109,Ref_Acuerdos!$A:$E,3,FALSE()),VLOOKUP($B109,Ref_Acuerdos!$A:$E,4,FALSE()),""),"")</f>
        <v/>
      </c>
      <c r="K109" s="4" t="str">
        <f aca="false">IFERROR(IF($A109&gt;=VLOOKUP($B109,Ref_Acuerdos!$A:$E,3,FALSE()),VLOOKUP($B109,Ref_Acuerdos!$A:$E,5,FALSE()),"Sin FTA/PTA vigente ese año - arancel NMF"),"Sin FTA/PTA identificado - arancel NMF")</f>
        <v>Sin FTA/PTA identificado - arancel NMF</v>
      </c>
    </row>
    <row r="110" customFormat="false" ht="15" hidden="false" customHeight="false" outlineLevel="0" collapsed="false">
      <c r="A110" s="2" t="n">
        <v>2010</v>
      </c>
      <c r="B110" s="2" t="s">
        <v>52</v>
      </c>
      <c r="C110" s="4" t="str">
        <f aca="false">IFERROR(VLOOKUP($B110,Ref_Continente!$A:$B,2,FALSE()),"Sin clasificar")</f>
        <v>Europe</v>
      </c>
      <c r="D110" s="5" t="n">
        <v>476</v>
      </c>
      <c r="E110" s="6" t="n">
        <v>107</v>
      </c>
      <c r="F110" s="6" t="n">
        <v>10350</v>
      </c>
      <c r="G110" s="5" t="n">
        <v>131898737241.17</v>
      </c>
      <c r="H110" s="4" t="n">
        <f aca="false">IFERROR(IF(AND(VLOOKUP($B110,Ref_Acuerdos!$A:$E,2,FALSE())="FTA",$A110&gt;=VLOOKUP($B110,Ref_Acuerdos!$A:$E,3,FALSE())),1,0),0)</f>
        <v>0</v>
      </c>
      <c r="I110" s="4" t="n">
        <f aca="false">IFERROR(IF(AND(VLOOKUP($B110,Ref_Acuerdos!$A:$E,2,FALSE())="PTA",$A110&gt;=VLOOKUP($B110,Ref_Acuerdos!$A:$E,3,FALSE())),1,0),0)</f>
        <v>0</v>
      </c>
      <c r="J110" s="7" t="str">
        <f aca="false">IFERROR(IF($A110&gt;=VLOOKUP($B110,Ref_Acuerdos!$A:$E,3,FALSE()),VLOOKUP($B110,Ref_Acuerdos!$A:$E,4,FALSE()),""),"")</f>
        <v/>
      </c>
      <c r="K110" s="4" t="str">
        <f aca="false">IFERROR(IF($A110&gt;=VLOOKUP($B110,Ref_Acuerdos!$A:$E,3,FALSE()),VLOOKUP($B110,Ref_Acuerdos!$A:$E,5,FALSE()),"Sin FTA/PTA vigente ese año - arancel NMF"),"Sin FTA/PTA identificado - arancel NMF")</f>
        <v>Sin FTA/PTA vigente ese año - arancel NMF</v>
      </c>
    </row>
    <row r="111" customFormat="false" ht="15" hidden="false" customHeight="false" outlineLevel="0" collapsed="false">
      <c r="A111" s="2" t="n">
        <v>2010</v>
      </c>
      <c r="B111" s="2" t="s">
        <v>71</v>
      </c>
      <c r="C111" s="4" t="str">
        <f aca="false">IFERROR(VLOOKUP($B111,Ref_Continente!$A:$B,2,FALSE()),"Sin clasificar")</f>
        <v>Asia</v>
      </c>
      <c r="D111" s="5" t="n">
        <v>360</v>
      </c>
      <c r="E111" s="6" t="n">
        <v>78</v>
      </c>
      <c r="F111" s="6" t="n">
        <v>17100</v>
      </c>
      <c r="G111" s="5" t="n">
        <v>2588176054.69</v>
      </c>
      <c r="H111" s="4" t="n">
        <f aca="false">IFERROR(IF(AND(VLOOKUP($B111,Ref_Acuerdos!$A:$E,2,FALSE())="FTA",$A111&gt;=VLOOKUP($B111,Ref_Acuerdos!$A:$E,3,FALSE())),1,0),0)</f>
        <v>0</v>
      </c>
      <c r="I111" s="4" t="n">
        <f aca="false">IFERROR(IF(AND(VLOOKUP($B111,Ref_Acuerdos!$A:$E,2,FALSE())="PTA",$A111&gt;=VLOOKUP($B111,Ref_Acuerdos!$A:$E,3,FALSE())),1,0),0)</f>
        <v>0</v>
      </c>
      <c r="J111" s="7" t="str">
        <f aca="false">IFERROR(IF($A111&gt;=VLOOKUP($B111,Ref_Acuerdos!$A:$E,3,FALSE()),VLOOKUP($B111,Ref_Acuerdos!$A:$E,4,FALSE()),""),"")</f>
        <v/>
      </c>
      <c r="K111" s="4" t="str">
        <f aca="false">IFERROR(IF($A111&gt;=VLOOKUP($B111,Ref_Acuerdos!$A:$E,3,FALSE()),VLOOKUP($B111,Ref_Acuerdos!$A:$E,5,FALSE()),"Sin FTA/PTA vigente ese año - arancel NMF"),"Sin FTA/PTA identificado - arancel NMF")</f>
        <v>Sin FTA/PTA identificado - arancel NMF</v>
      </c>
    </row>
    <row r="112" customFormat="false" ht="15" hidden="false" customHeight="false" outlineLevel="0" collapsed="false">
      <c r="A112" s="2" t="n">
        <v>2010</v>
      </c>
      <c r="B112" s="2" t="s">
        <v>95</v>
      </c>
      <c r="C112" s="4" t="str">
        <f aca="false">IFERROR(VLOOKUP($B112,Ref_Continente!$A:$B,2,FALSE()),"Sin clasificar")</f>
        <v>Europe</v>
      </c>
      <c r="D112" s="5" t="n">
        <v>251</v>
      </c>
      <c r="E112" s="6" t="n">
        <v>38</v>
      </c>
      <c r="F112" s="6" t="n">
        <v>11300</v>
      </c>
      <c r="G112" s="5" t="n">
        <v>170064350671.83</v>
      </c>
      <c r="H112" s="4" t="n">
        <f aca="false">IFERROR(IF(AND(VLOOKUP($B112,Ref_Acuerdos!$A:$E,2,FALSE())="FTA",$A112&gt;=VLOOKUP($B112,Ref_Acuerdos!$A:$E,3,FALSE())),1,0),0)</f>
        <v>0</v>
      </c>
      <c r="I112" s="4" t="n">
        <f aca="false">IFERROR(IF(AND(VLOOKUP($B112,Ref_Acuerdos!$A:$E,2,FALSE())="PTA",$A112&gt;=VLOOKUP($B112,Ref_Acuerdos!$A:$E,3,FALSE())),1,0),0)</f>
        <v>0</v>
      </c>
      <c r="J112" s="7" t="str">
        <f aca="false">IFERROR(IF($A112&gt;=VLOOKUP($B112,Ref_Acuerdos!$A:$E,3,FALSE()),VLOOKUP($B112,Ref_Acuerdos!$A:$E,4,FALSE()),""),"")</f>
        <v/>
      </c>
      <c r="K112" s="4" t="str">
        <f aca="false">IFERROR(IF($A112&gt;=VLOOKUP($B112,Ref_Acuerdos!$A:$E,3,FALSE()),VLOOKUP($B112,Ref_Acuerdos!$A:$E,5,FALSE()),"Sin FTA/PTA vigente ese año - arancel NMF"),"Sin FTA/PTA identificado - arancel NMF")</f>
        <v>Sin FTA/PTA vigente ese año - arancel NMF</v>
      </c>
    </row>
    <row r="113" customFormat="false" ht="15" hidden="false" customHeight="false" outlineLevel="0" collapsed="false">
      <c r="A113" s="2" t="n">
        <v>2010</v>
      </c>
      <c r="B113" s="2" t="s">
        <v>34</v>
      </c>
      <c r="C113" s="4" t="str">
        <f aca="false">IFERROR(VLOOKUP($B113,Ref_Continente!$A:$B,2,FALSE()),"Sin clasificar")</f>
        <v>Europe</v>
      </c>
      <c r="D113" s="5" t="n">
        <v>182</v>
      </c>
      <c r="E113" s="6" t="n">
        <v>46</v>
      </c>
      <c r="F113" s="6" t="n">
        <v>11900</v>
      </c>
      <c r="G113" s="5" t="n">
        <v>25799940077.61</v>
      </c>
      <c r="H113" s="4" t="n">
        <f aca="false">IFERROR(IF(AND(VLOOKUP($B113,Ref_Acuerdos!$A:$E,2,FALSE())="FTA",$A113&gt;=VLOOKUP($B113,Ref_Acuerdos!$A:$E,3,FALSE())),1,0),0)</f>
        <v>0</v>
      </c>
      <c r="I113" s="4" t="n">
        <f aca="false">IFERROR(IF(AND(VLOOKUP($B113,Ref_Acuerdos!$A:$E,2,FALSE())="PTA",$A113&gt;=VLOOKUP($B113,Ref_Acuerdos!$A:$E,3,FALSE())),1,0),0)</f>
        <v>0</v>
      </c>
      <c r="J113" s="7" t="str">
        <f aca="false">IFERROR(IF($A113&gt;=VLOOKUP($B113,Ref_Acuerdos!$A:$E,3,FALSE()),VLOOKUP($B113,Ref_Acuerdos!$A:$E,4,FALSE()),""),"")</f>
        <v/>
      </c>
      <c r="K113" s="4" t="str">
        <f aca="false">IFERROR(IF($A113&gt;=VLOOKUP($B113,Ref_Acuerdos!$A:$E,3,FALSE()),VLOOKUP($B113,Ref_Acuerdos!$A:$E,5,FALSE()),"Sin FTA/PTA vigente ese año - arancel NMF"),"Sin FTA/PTA identificado - arancel NMF")</f>
        <v>Sin FTA/PTA vigente ese año - arancel NMF</v>
      </c>
    </row>
    <row r="114" customFormat="false" ht="15" hidden="false" customHeight="false" outlineLevel="0" collapsed="false">
      <c r="A114" s="2" t="n">
        <v>2010</v>
      </c>
      <c r="B114" s="2" t="s">
        <v>24</v>
      </c>
      <c r="C114" s="4" t="str">
        <f aca="false">IFERROR(VLOOKUP($B114,Ref_Continente!$A:$B,2,FALSE()),"Sin clasificar")</f>
        <v>Europe</v>
      </c>
      <c r="D114" s="5" t="n">
        <v>147</v>
      </c>
      <c r="E114" s="6" t="n">
        <v>78</v>
      </c>
      <c r="F114" s="6" t="n">
        <v>10870</v>
      </c>
      <c r="G114" s="5" t="n">
        <v>50689051382.44</v>
      </c>
      <c r="H114" s="4" t="n">
        <f aca="false">IFERROR(IF(AND(VLOOKUP($B114,Ref_Acuerdos!$A:$E,2,FALSE())="FTA",$A114&gt;=VLOOKUP($B114,Ref_Acuerdos!$A:$E,3,FALSE())),1,0),0)</f>
        <v>0</v>
      </c>
      <c r="I114" s="4" t="n">
        <f aca="false">IFERROR(IF(AND(VLOOKUP($B114,Ref_Acuerdos!$A:$E,2,FALSE())="PTA",$A114&gt;=VLOOKUP($B114,Ref_Acuerdos!$A:$E,3,FALSE())),1,0),0)</f>
        <v>0</v>
      </c>
      <c r="J114" s="7" t="str">
        <f aca="false">IFERROR(IF($A114&gt;=VLOOKUP($B114,Ref_Acuerdos!$A:$E,3,FALSE()),VLOOKUP($B114,Ref_Acuerdos!$A:$E,4,FALSE()),""),"")</f>
        <v/>
      </c>
      <c r="K114" s="4" t="str">
        <f aca="false">IFERROR(IF($A114&gt;=VLOOKUP($B114,Ref_Acuerdos!$A:$E,3,FALSE()),VLOOKUP($B114,Ref_Acuerdos!$A:$E,5,FALSE()),"Sin FTA/PTA vigente ese año - arancel NMF"),"Sin FTA/PTA identificado - arancel NMF")</f>
        <v>Sin FTA/PTA vigente ese año - arancel NMF</v>
      </c>
    </row>
    <row r="115" customFormat="false" ht="15" hidden="false" customHeight="false" outlineLevel="0" collapsed="false">
      <c r="A115" s="2" t="n">
        <v>2010</v>
      </c>
      <c r="B115" s="2" t="s">
        <v>111</v>
      </c>
      <c r="C115" s="4" t="str">
        <f aca="false">IFERROR(VLOOKUP($B115,Ref_Continente!$A:$B,2,FALSE()),"Sin clasificar")</f>
        <v>North America</v>
      </c>
      <c r="D115" s="5" t="n">
        <v>125</v>
      </c>
      <c r="E115" s="6" t="n">
        <v>30</v>
      </c>
      <c r="F115" s="6" t="n">
        <v>2530</v>
      </c>
      <c r="G115" s="5" t="n">
        <v>22157920592.37</v>
      </c>
      <c r="H115" s="4" t="n">
        <f aca="false">IFERROR(IF(AND(VLOOKUP($B115,Ref_Acuerdos!$A:$E,2,FALSE())="FTA",$A115&gt;=VLOOKUP($B115,Ref_Acuerdos!$A:$E,3,FALSE())),1,0),0)</f>
        <v>0</v>
      </c>
      <c r="I115" s="4" t="n">
        <f aca="false">IFERROR(IF(AND(VLOOKUP($B115,Ref_Acuerdos!$A:$E,2,FALSE())="PTA",$A115&gt;=VLOOKUP($B115,Ref_Acuerdos!$A:$E,3,FALSE())),1,0),0)</f>
        <v>0</v>
      </c>
      <c r="J115" s="7" t="str">
        <f aca="false">IFERROR(IF($A115&gt;=VLOOKUP($B115,Ref_Acuerdos!$A:$E,3,FALSE()),VLOOKUP($B115,Ref_Acuerdos!$A:$E,4,FALSE()),""),"")</f>
        <v/>
      </c>
      <c r="K115" s="4" t="str">
        <f aca="false">IFERROR(IF($A115&gt;=VLOOKUP($B115,Ref_Acuerdos!$A:$E,3,FALSE()),VLOOKUP($B115,Ref_Acuerdos!$A:$E,5,FALSE()),"Sin FTA/PTA vigente ese año - arancel NMF"),"Sin FTA/PTA identificado - arancel NMF")</f>
        <v>Sin FTA/PTA identificado - arancel NMF</v>
      </c>
    </row>
    <row r="116" customFormat="false" ht="15" hidden="false" customHeight="false" outlineLevel="0" collapsed="false">
      <c r="A116" s="2" t="n">
        <v>2010</v>
      </c>
      <c r="B116" s="2" t="s">
        <v>62</v>
      </c>
      <c r="C116" s="4" t="str">
        <f aca="false">IFERROR(VLOOKUP($B116,Ref_Continente!$A:$B,2,FALSE()),"Sin clasificar")</f>
        <v>Asia</v>
      </c>
      <c r="D116" s="5" t="n">
        <v>55</v>
      </c>
      <c r="E116" s="6" t="n">
        <v>10</v>
      </c>
      <c r="F116" s="6" t="n">
        <v>12200</v>
      </c>
      <c r="G116" s="5" t="n">
        <v>27133804225.35</v>
      </c>
      <c r="H116" s="4" t="n">
        <f aca="false">IFERROR(IF(AND(VLOOKUP($B116,Ref_Acuerdos!$A:$E,2,FALSE())="FTA",$A116&gt;=VLOOKUP($B116,Ref_Acuerdos!$A:$E,3,FALSE())),1,0),0)</f>
        <v>0</v>
      </c>
      <c r="I116" s="4" t="n">
        <f aca="false">IFERROR(IF(AND(VLOOKUP($B116,Ref_Acuerdos!$A:$E,2,FALSE())="PTA",$A116&gt;=VLOOKUP($B116,Ref_Acuerdos!$A:$E,3,FALSE())),1,0),0)</f>
        <v>0</v>
      </c>
      <c r="J116" s="7" t="str">
        <f aca="false">IFERROR(IF($A116&gt;=VLOOKUP($B116,Ref_Acuerdos!$A:$E,3,FALSE()),VLOOKUP($B116,Ref_Acuerdos!$A:$E,4,FALSE()),""),"")</f>
        <v/>
      </c>
      <c r="K116" s="4" t="str">
        <f aca="false">IFERROR(IF($A116&gt;=VLOOKUP($B116,Ref_Acuerdos!$A:$E,3,FALSE()),VLOOKUP($B116,Ref_Acuerdos!$A:$E,5,FALSE()),"Sin FTA/PTA vigente ese año - arancel NMF"),"Sin FTA/PTA identificado - arancel NMF")</f>
        <v>Sin FTA/PTA identificado - arancel NMF</v>
      </c>
    </row>
    <row r="117" customFormat="false" ht="15" hidden="false" customHeight="false" outlineLevel="0" collapsed="false">
      <c r="A117" s="2" t="n">
        <v>2010</v>
      </c>
      <c r="B117" s="2" t="s">
        <v>46</v>
      </c>
      <c r="C117" s="4" t="str">
        <f aca="false">IFERROR(VLOOKUP($B117,Ref_Continente!$A:$B,2,FALSE()),"Sin clasificar")</f>
        <v>Europe</v>
      </c>
      <c r="D117" s="5" t="n">
        <v>5</v>
      </c>
      <c r="E117" s="6" t="n">
        <v>9</v>
      </c>
      <c r="F117" s="6" t="n">
        <v>11250</v>
      </c>
      <c r="G117" s="5" t="n">
        <v>296417644404.03</v>
      </c>
      <c r="H117" s="4" t="n">
        <f aca="false">IFERROR(IF(AND(VLOOKUP($B117,Ref_Acuerdos!$A:$E,2,FALSE())="FTA",$A117&gt;=VLOOKUP($B117,Ref_Acuerdos!$A:$E,3,FALSE())),1,0),0)</f>
        <v>0</v>
      </c>
      <c r="I117" s="4" t="n">
        <f aca="false">IFERROR(IF(AND(VLOOKUP($B117,Ref_Acuerdos!$A:$E,2,FALSE())="PTA",$A117&gt;=VLOOKUP($B117,Ref_Acuerdos!$A:$E,3,FALSE())),1,0),0)</f>
        <v>0</v>
      </c>
      <c r="J117" s="7" t="str">
        <f aca="false">IFERROR(IF($A117&gt;=VLOOKUP($B117,Ref_Acuerdos!$A:$E,3,FALSE()),VLOOKUP($B117,Ref_Acuerdos!$A:$E,4,FALSE()),""),"")</f>
        <v/>
      </c>
      <c r="K117" s="4" t="str">
        <f aca="false">IFERROR(IF($A117&gt;=VLOOKUP($B117,Ref_Acuerdos!$A:$E,3,FALSE()),VLOOKUP($B117,Ref_Acuerdos!$A:$E,5,FALSE()),"Sin FTA/PTA vigente ese año - arancel NMF"),"Sin FTA/PTA identificado - arancel NMF")</f>
        <v>Sin FTA/PTA vigente ese año - arancel NMF</v>
      </c>
    </row>
    <row r="118" customFormat="false" ht="15" hidden="false" customHeight="false" outlineLevel="0" collapsed="false">
      <c r="A118" s="2" t="n">
        <v>2011</v>
      </c>
      <c r="B118" s="2" t="s">
        <v>96</v>
      </c>
      <c r="C118" s="4" t="str">
        <f aca="false">IFERROR(VLOOKUP($B118,Ref_Continente!$A:$B,2,FALSE()),"Sin clasificar")</f>
        <v>Europe</v>
      </c>
      <c r="D118" s="5" t="n">
        <v>6064188</v>
      </c>
      <c r="E118" s="6" t="n">
        <v>1643562</v>
      </c>
      <c r="F118" s="6" t="n">
        <v>12000</v>
      </c>
      <c r="G118" s="5" t="n">
        <v>2045922753398.04</v>
      </c>
      <c r="H118" s="4" t="n">
        <f aca="false">IFERROR(IF(AND(VLOOKUP($B118,Ref_Acuerdos!$A:$E,2,FALSE())="FTA",$A118&gt;=VLOOKUP($B118,Ref_Acuerdos!$A:$E,3,FALSE())),1,0),0)</f>
        <v>0</v>
      </c>
      <c r="I118" s="4" t="n">
        <f aca="false">IFERROR(IF(AND(VLOOKUP($B118,Ref_Acuerdos!$A:$E,2,FALSE())="PTA",$A118&gt;=VLOOKUP($B118,Ref_Acuerdos!$A:$E,3,FALSE())),1,0),0)</f>
        <v>0</v>
      </c>
      <c r="J118" s="7" t="str">
        <f aca="false">IFERROR(IF($A118&gt;=VLOOKUP($B118,Ref_Acuerdos!$A:$E,3,FALSE()),VLOOKUP($B118,Ref_Acuerdos!$A:$E,4,FALSE()),""),"")</f>
        <v/>
      </c>
      <c r="K118" s="4" t="str">
        <f aca="false">IFERROR(IF($A118&gt;=VLOOKUP($B118,Ref_Acuerdos!$A:$E,3,FALSE()),VLOOKUP($B118,Ref_Acuerdos!$A:$E,5,FALSE()),"Sin FTA/PTA vigente ese año - arancel NMF"),"Sin FTA/PTA identificado - arancel NMF")</f>
        <v>Sin FTA/PTA identificado - arancel NMF</v>
      </c>
    </row>
    <row r="119" customFormat="false" ht="15" hidden="false" customHeight="false" outlineLevel="0" collapsed="false">
      <c r="A119" s="2" t="n">
        <v>2011</v>
      </c>
      <c r="B119" s="2" t="s">
        <v>114</v>
      </c>
      <c r="C119" s="4" t="str">
        <f aca="false">IFERROR(VLOOKUP($B119,Ref_Continente!$A:$B,2,FALSE()),"Sin clasificar")</f>
        <v>North America</v>
      </c>
      <c r="D119" s="5" t="n">
        <v>3055401</v>
      </c>
      <c r="E119" s="6" t="n">
        <v>642473</v>
      </c>
      <c r="F119" s="6" t="n">
        <v>4550</v>
      </c>
      <c r="G119" s="5" t="n">
        <v>15599728123000</v>
      </c>
      <c r="H119" s="4" t="n">
        <f aca="false">IFERROR(IF(AND(VLOOKUP($B119,Ref_Acuerdos!$A:$E,2,FALSE())="FTA",$A119&gt;=VLOOKUP($B119,Ref_Acuerdos!$A:$E,3,FALSE())),1,0),0)</f>
        <v>0</v>
      </c>
      <c r="I119" s="4" t="n">
        <f aca="false">IFERROR(IF(AND(VLOOKUP($B119,Ref_Acuerdos!$A:$E,2,FALSE())="PTA",$A119&gt;=VLOOKUP($B119,Ref_Acuerdos!$A:$E,3,FALSE())),1,0),0)</f>
        <v>0</v>
      </c>
      <c r="J119" s="7" t="str">
        <f aca="false">IFERROR(IF($A119&gt;=VLOOKUP($B119,Ref_Acuerdos!$A:$E,3,FALSE()),VLOOKUP($B119,Ref_Acuerdos!$A:$E,4,FALSE()),""),"")</f>
        <v/>
      </c>
      <c r="K119" s="4" t="str">
        <f aca="false">IFERROR(IF($A119&gt;=VLOOKUP($B119,Ref_Acuerdos!$A:$E,3,FALSE()),VLOOKUP($B119,Ref_Acuerdos!$A:$E,5,FALSE()),"Sin FTA/PTA vigente ese año - arancel NMF"),"Sin FTA/PTA identificado - arancel NMF")</f>
        <v>Sin FTA/PTA identificado - arancel NMF</v>
      </c>
    </row>
    <row r="120" customFormat="false" ht="15" hidden="false" customHeight="false" outlineLevel="0" collapsed="false">
      <c r="A120" s="2" t="n">
        <v>2011</v>
      </c>
      <c r="B120" s="2" t="s">
        <v>61</v>
      </c>
      <c r="C120" s="4" t="str">
        <f aca="false">IFERROR(VLOOKUP($B120,Ref_Continente!$A:$B,2,FALSE()),"Sin clasificar")</f>
        <v>Asia</v>
      </c>
      <c r="D120" s="5" t="n">
        <v>1274810</v>
      </c>
      <c r="E120" s="6" t="n">
        <v>230294</v>
      </c>
      <c r="F120" s="6" t="n">
        <v>14500</v>
      </c>
      <c r="G120" s="5" t="n">
        <v>6233147172341.35</v>
      </c>
      <c r="H120" s="4" t="n">
        <f aca="false">IFERROR(IF(AND(VLOOKUP($B120,Ref_Acuerdos!$A:$E,2,FALSE())="FTA",$A120&gt;=VLOOKUP($B120,Ref_Acuerdos!$A:$E,3,FALSE())),1,0),0)</f>
        <v>0</v>
      </c>
      <c r="I120" s="4" t="n">
        <f aca="false">IFERROR(IF(AND(VLOOKUP($B120,Ref_Acuerdos!$A:$E,2,FALSE())="PTA",$A120&gt;=VLOOKUP($B120,Ref_Acuerdos!$A:$E,3,FALSE())),1,0),0)</f>
        <v>0</v>
      </c>
      <c r="J120" s="7" t="str">
        <f aca="false">IFERROR(IF($A120&gt;=VLOOKUP($B120,Ref_Acuerdos!$A:$E,3,FALSE()),VLOOKUP($B120,Ref_Acuerdos!$A:$E,4,FALSE()),""),"")</f>
        <v/>
      </c>
      <c r="K120" s="4" t="str">
        <f aca="false">IFERROR(IF($A120&gt;=VLOOKUP($B120,Ref_Acuerdos!$A:$E,3,FALSE()),VLOOKUP($B120,Ref_Acuerdos!$A:$E,5,FALSE()),"Sin FTA/PTA vigente ese año - arancel NMF"),"Sin FTA/PTA identificado - arancel NMF")</f>
        <v>Sin FTA/PTA identificado - arancel NMF</v>
      </c>
    </row>
    <row r="121" customFormat="false" ht="15" hidden="false" customHeight="false" outlineLevel="0" collapsed="false">
      <c r="A121" s="2" t="n">
        <v>2011</v>
      </c>
      <c r="B121" s="2" t="s">
        <v>77</v>
      </c>
      <c r="C121" s="4" t="str">
        <f aca="false">IFERROR(VLOOKUP($B121,Ref_Continente!$A:$B,2,FALSE()),"Sin clasificar")</f>
        <v>Europe</v>
      </c>
      <c r="D121" s="5" t="n">
        <v>984925</v>
      </c>
      <c r="E121" s="6" t="n">
        <v>216387</v>
      </c>
      <c r="F121" s="6" t="n">
        <v>9300</v>
      </c>
      <c r="G121" s="5" t="n">
        <v>913140741332.69</v>
      </c>
      <c r="H121" s="4" t="n">
        <f aca="false">IFERROR(IF(AND(VLOOKUP($B121,Ref_Acuerdos!$A:$E,2,FALSE())="FTA",$A121&gt;=VLOOKUP($B121,Ref_Acuerdos!$A:$E,3,FALSE())),1,0),0)</f>
        <v>0</v>
      </c>
      <c r="I121" s="4" t="n">
        <f aca="false">IFERROR(IF(AND(VLOOKUP($B121,Ref_Acuerdos!$A:$E,2,FALSE())="PTA",$A121&gt;=VLOOKUP($B121,Ref_Acuerdos!$A:$E,3,FALSE())),1,0),0)</f>
        <v>0</v>
      </c>
      <c r="J121" s="7" t="str">
        <f aca="false">IFERROR(IF($A121&gt;=VLOOKUP($B121,Ref_Acuerdos!$A:$E,3,FALSE()),VLOOKUP($B121,Ref_Acuerdos!$A:$E,4,FALSE()),""),"")</f>
        <v/>
      </c>
      <c r="K121" s="4" t="str">
        <f aca="false">IFERROR(IF($A121&gt;=VLOOKUP($B121,Ref_Acuerdos!$A:$E,3,FALSE()),VLOOKUP($B121,Ref_Acuerdos!$A:$E,5,FALSE()),"Sin FTA/PTA vigente ese año - arancel NMF"),"Sin FTA/PTA identificado - arancel NMF")</f>
        <v>Sin FTA/PTA vigente ese año - arancel NMF</v>
      </c>
    </row>
    <row r="122" customFormat="false" ht="15" hidden="false" customHeight="false" outlineLevel="0" collapsed="false">
      <c r="A122" s="2" t="n">
        <v>2011</v>
      </c>
      <c r="B122" s="2" t="s">
        <v>105</v>
      </c>
      <c r="C122" s="4" t="str">
        <f aca="false">IFERROR(VLOOKUP($B122,Ref_Continente!$A:$B,2,FALSE()),"Sin clasificar")</f>
        <v>Europe</v>
      </c>
      <c r="D122" s="5" t="n">
        <v>757235</v>
      </c>
      <c r="E122" s="6" t="n">
        <v>167012</v>
      </c>
      <c r="F122" s="6" t="n">
        <v>8700</v>
      </c>
      <c r="G122" s="5" t="n">
        <v>1487568659241.25</v>
      </c>
      <c r="H122" s="4" t="n">
        <f aca="false">IFERROR(IF(AND(VLOOKUP($B122,Ref_Acuerdos!$A:$E,2,FALSE())="FTA",$A122&gt;=VLOOKUP($B122,Ref_Acuerdos!$A:$E,3,FALSE())),1,0),0)</f>
        <v>0</v>
      </c>
      <c r="I122" s="4" t="n">
        <f aca="false">IFERROR(IF(AND(VLOOKUP($B122,Ref_Acuerdos!$A:$E,2,FALSE())="PTA",$A122&gt;=VLOOKUP($B122,Ref_Acuerdos!$A:$E,3,FALSE())),1,0),0)</f>
        <v>0</v>
      </c>
      <c r="J122" s="7" t="str">
        <f aca="false">IFERROR(IF($A122&gt;=VLOOKUP($B122,Ref_Acuerdos!$A:$E,3,FALSE()),VLOOKUP($B122,Ref_Acuerdos!$A:$E,4,FALSE()),""),"")</f>
        <v/>
      </c>
      <c r="K122" s="4" t="str">
        <f aca="false">IFERROR(IF($A122&gt;=VLOOKUP($B122,Ref_Acuerdos!$A:$E,3,FALSE()),VLOOKUP($B122,Ref_Acuerdos!$A:$E,5,FALSE()),"Sin FTA/PTA vigente ese año - arancel NMF"),"Sin FTA/PTA identificado - arancel NMF")</f>
        <v>Sin FTA/PTA vigente ese año - arancel NMF</v>
      </c>
    </row>
    <row r="123" customFormat="false" ht="15" hidden="false" customHeight="false" outlineLevel="0" collapsed="false">
      <c r="A123" s="2" t="n">
        <v>2011</v>
      </c>
      <c r="B123" s="2" t="s">
        <v>115</v>
      </c>
      <c r="C123" s="4" t="str">
        <f aca="false">IFERROR(VLOOKUP($B123,Ref_Continente!$A:$B,2,FALSE()),"Sin clasificar")</f>
        <v>Europe</v>
      </c>
      <c r="D123" s="5" t="n">
        <v>482359</v>
      </c>
      <c r="E123" s="6" t="n">
        <v>99499</v>
      </c>
      <c r="F123" s="6" t="n">
        <v>11</v>
      </c>
      <c r="G123" s="5" t="n">
        <v>169333835201.55</v>
      </c>
      <c r="H123" s="4" t="n">
        <f aca="false">IFERROR(IF(AND(VLOOKUP($B123,Ref_Acuerdos!$A:$E,2,FALSE())="FTA",$A123&gt;=VLOOKUP($B123,Ref_Acuerdos!$A:$E,3,FALSE())),1,0),0)</f>
        <v>0</v>
      </c>
      <c r="I123" s="4" t="n">
        <f aca="false">IFERROR(IF(AND(VLOOKUP($B123,Ref_Acuerdos!$A:$E,2,FALSE())="PTA",$A123&gt;=VLOOKUP($B123,Ref_Acuerdos!$A:$E,3,FALSE())),1,0),0)</f>
        <v>0</v>
      </c>
      <c r="J123" s="7" t="str">
        <f aca="false">IFERROR(IF($A123&gt;=VLOOKUP($B123,Ref_Acuerdos!$A:$E,3,FALSE()),VLOOKUP($B123,Ref_Acuerdos!$A:$E,4,FALSE()),""),"")</f>
        <v/>
      </c>
      <c r="K123" s="4" t="str">
        <f aca="false">IFERROR(IF($A123&gt;=VLOOKUP($B123,Ref_Acuerdos!$A:$E,3,FALSE()),VLOOKUP($B123,Ref_Acuerdos!$A:$E,5,FALSE()),"Sin FTA/PTA vigente ese año - arancel NMF"),"Sin FTA/PTA identificado - arancel NMF")</f>
        <v>Sin FTA/PTA identificado - arancel NMF</v>
      </c>
    </row>
    <row r="124" customFormat="false" ht="15" hidden="false" customHeight="false" outlineLevel="0" collapsed="false">
      <c r="A124" s="2" t="n">
        <v>2011</v>
      </c>
      <c r="B124" s="2" t="s">
        <v>4</v>
      </c>
      <c r="C124" s="4" t="str">
        <f aca="false">IFERROR(VLOOKUP($B124,Ref_Continente!$A:$B,2,FALSE()),"Sin clasificar")</f>
        <v>Sin clasificar</v>
      </c>
      <c r="D124" s="5" t="n">
        <v>459377</v>
      </c>
      <c r="E124" s="6" t="n">
        <v>56196</v>
      </c>
      <c r="F124" s="6" t="n">
        <v>0</v>
      </c>
      <c r="G124" s="5"/>
      <c r="H124" s="4" t="n">
        <f aca="false">IFERROR(IF(AND(VLOOKUP($B124,Ref_Acuerdos!$A:$E,2,FALSE())="FTA",$A124&gt;=VLOOKUP($B124,Ref_Acuerdos!$A:$E,3,FALSE())),1,0),0)</f>
        <v>0</v>
      </c>
      <c r="I124" s="4" t="n">
        <f aca="false">IFERROR(IF(AND(VLOOKUP($B124,Ref_Acuerdos!$A:$E,2,FALSE())="PTA",$A124&gt;=VLOOKUP($B124,Ref_Acuerdos!$A:$E,3,FALSE())),1,0),0)</f>
        <v>0</v>
      </c>
      <c r="J124" s="7" t="str">
        <f aca="false">IFERROR(IF($A124&gt;=VLOOKUP($B124,Ref_Acuerdos!$A:$E,3,FALSE()),VLOOKUP($B124,Ref_Acuerdos!$A:$E,4,FALSE()),""),"")</f>
        <v/>
      </c>
      <c r="K124" s="4" t="str">
        <f aca="false">IFERROR(IF($A124&gt;=VLOOKUP($B124,Ref_Acuerdos!$A:$E,3,FALSE()),VLOOKUP($B124,Ref_Acuerdos!$A:$E,5,FALSE()),"Sin FTA/PTA vigente ese año - arancel NMF"),"Sin FTA/PTA identificado - arancel NMF")</f>
        <v>Sin FTA/PTA identificado - arancel NMF</v>
      </c>
    </row>
    <row r="125" customFormat="false" ht="15" hidden="false" customHeight="false" outlineLevel="0" collapsed="false">
      <c r="A125" s="2" t="n">
        <v>2011</v>
      </c>
      <c r="B125" s="2" t="s">
        <v>26</v>
      </c>
      <c r="C125" s="4" t="str">
        <f aca="false">IFERROR(VLOOKUP($B125,Ref_Continente!$A:$B,2,FALSE()),"Sin clasificar")</f>
        <v>South America</v>
      </c>
      <c r="D125" s="5" t="n">
        <v>303190</v>
      </c>
      <c r="E125" s="6" t="n">
        <v>78646</v>
      </c>
      <c r="F125" s="6" t="n">
        <v>2600</v>
      </c>
      <c r="G125" s="5" t="n">
        <v>251382573893.87</v>
      </c>
      <c r="H125" s="4" t="n">
        <f aca="false">IFERROR(IF(AND(VLOOKUP($B125,Ref_Acuerdos!$A:$E,2,FALSE())="FTA",$A125&gt;=VLOOKUP($B125,Ref_Acuerdos!$A:$E,3,FALSE())),1,0),0)</f>
        <v>1</v>
      </c>
      <c r="I125" s="4" t="n">
        <f aca="false">IFERROR(IF(AND(VLOOKUP($B125,Ref_Acuerdos!$A:$E,2,FALSE())="PTA",$A125&gt;=VLOOKUP($B125,Ref_Acuerdos!$A:$E,3,FALSE())),1,0),0)</f>
        <v>0</v>
      </c>
      <c r="J125" s="7" t="n">
        <f aca="false">IFERROR(IF($A125&gt;=VLOOKUP($B125,Ref_Acuerdos!$A:$E,3,FALSE()),VLOOKUP($B125,Ref_Acuerdos!$A:$E,4,FALSE()),""),"")</f>
        <v>0</v>
      </c>
      <c r="K125" s="4" t="str">
        <f aca="false">IFERROR(IF($A125&gt;=VLOOKUP($B125,Ref_Acuerdos!$A:$E,3,FALSE()),VLOOKUP($B125,Ref_Acuerdos!$A:$E,5,FALSE()),"Sin FTA/PTA vigente ese año - arancel NMF"),"Sin FTA/PTA identificado - arancel NMF")</f>
        <v>Ecuador-Chile ACE 65, vigente desde 2010</v>
      </c>
    </row>
    <row r="126" customFormat="false" ht="15" hidden="false" customHeight="false" outlineLevel="0" collapsed="false">
      <c r="A126" s="2" t="n">
        <v>2011</v>
      </c>
      <c r="B126" s="2" t="s">
        <v>29</v>
      </c>
      <c r="C126" s="4" t="str">
        <f aca="false">IFERROR(VLOOKUP($B126,Ref_Continente!$A:$B,2,FALSE()),"Sin clasificar")</f>
        <v>South America</v>
      </c>
      <c r="D126" s="5" t="n">
        <v>295417</v>
      </c>
      <c r="E126" s="6" t="n">
        <v>60834</v>
      </c>
      <c r="F126" s="6" t="n">
        <v>720</v>
      </c>
      <c r="G126" s="5" t="n">
        <v>334966134804.89</v>
      </c>
      <c r="H126" s="4" t="n">
        <f aca="false">IFERROR(IF(AND(VLOOKUP($B126,Ref_Acuerdos!$A:$E,2,FALSE())="FTA",$A126&gt;=VLOOKUP($B126,Ref_Acuerdos!$A:$E,3,FALSE())),1,0),0)</f>
        <v>0</v>
      </c>
      <c r="I126" s="4" t="n">
        <f aca="false">IFERROR(IF(AND(VLOOKUP($B126,Ref_Acuerdos!$A:$E,2,FALSE())="PTA",$A126&gt;=VLOOKUP($B126,Ref_Acuerdos!$A:$E,3,FALSE())),1,0),0)</f>
        <v>1</v>
      </c>
      <c r="J126" s="7" t="n">
        <f aca="false">IFERROR(IF($A126&gt;=VLOOKUP($B126,Ref_Acuerdos!$A:$E,3,FALSE()),VLOOKUP($B126,Ref_Acuerdos!$A:$E,4,FALSE()),""),"")</f>
        <v>0</v>
      </c>
      <c r="K126" s="4" t="str">
        <f aca="false">IFERROR(IF($A126&gt;=VLOOKUP($B126,Ref_Acuerdos!$A:$E,3,FALSE()),VLOOKUP($B126,Ref_Acuerdos!$A:$E,5,FALSE()),"Sin FTA/PTA vigente ese año - arancel NMF"),"Sin FTA/PTA identificado - arancel NMF")</f>
        <v>Comunidad Andina (CAN) - libre comercio intracomunitario</v>
      </c>
    </row>
    <row r="127" customFormat="false" ht="15" hidden="false" customHeight="false" outlineLevel="0" collapsed="false">
      <c r="A127" s="2" t="n">
        <v>2011</v>
      </c>
      <c r="B127" s="2" t="s">
        <v>59</v>
      </c>
      <c r="C127" s="4" t="str">
        <f aca="false">IFERROR(VLOOKUP($B127,Ref_Continente!$A:$B,2,FALSE()),"Sin clasificar")</f>
        <v>Europe</v>
      </c>
      <c r="D127" s="5" t="n">
        <v>284884</v>
      </c>
      <c r="E127" s="6" t="n">
        <v>65485</v>
      </c>
      <c r="F127" s="6" t="n">
        <v>10100</v>
      </c>
      <c r="G127" s="5" t="n">
        <v>2306974020278.22</v>
      </c>
      <c r="H127" s="4" t="n">
        <f aca="false">IFERROR(IF(AND(VLOOKUP($B127,Ref_Acuerdos!$A:$E,2,FALSE())="FTA",$A127&gt;=VLOOKUP($B127,Ref_Acuerdos!$A:$E,3,FALSE())),1,0),0)</f>
        <v>0</v>
      </c>
      <c r="I127" s="4" t="n">
        <f aca="false">IFERROR(IF(AND(VLOOKUP($B127,Ref_Acuerdos!$A:$E,2,FALSE())="PTA",$A127&gt;=VLOOKUP($B127,Ref_Acuerdos!$A:$E,3,FALSE())),1,0),0)</f>
        <v>0</v>
      </c>
      <c r="J127" s="7" t="str">
        <f aca="false">IFERROR(IF($A127&gt;=VLOOKUP($B127,Ref_Acuerdos!$A:$E,3,FALSE()),VLOOKUP($B127,Ref_Acuerdos!$A:$E,4,FALSE()),""),"")</f>
        <v/>
      </c>
      <c r="K127" s="4" t="str">
        <f aca="false">IFERROR(IF($A127&gt;=VLOOKUP($B127,Ref_Acuerdos!$A:$E,3,FALSE()),VLOOKUP($B127,Ref_Acuerdos!$A:$E,5,FALSE()),"Sin FTA/PTA vigente ese año - arancel NMF"),"Sin FTA/PTA identificado - arancel NMF")</f>
        <v>Sin FTA/PTA vigente ese año - arancel NMF</v>
      </c>
    </row>
    <row r="128" customFormat="false" ht="15" hidden="false" customHeight="false" outlineLevel="0" collapsed="false">
      <c r="A128" s="2" t="n">
        <v>2011</v>
      </c>
      <c r="B128" s="2" t="s">
        <v>86</v>
      </c>
      <c r="C128" s="4" t="str">
        <f aca="false">IFERROR(VLOOKUP($B128,Ref_Continente!$A:$B,2,FALSE()),"Sin clasificar")</f>
        <v>North America</v>
      </c>
      <c r="D128" s="5" t="n">
        <v>126651</v>
      </c>
      <c r="E128" s="6" t="n">
        <v>33726</v>
      </c>
      <c r="F128" s="6" t="n">
        <v>1020</v>
      </c>
      <c r="G128" s="5" t="n">
        <v>35687738251.81</v>
      </c>
      <c r="H128" s="4" t="n">
        <f aca="false">IFERROR(IF(AND(VLOOKUP($B128,Ref_Acuerdos!$A:$E,2,FALSE())="FTA",$A128&gt;=VLOOKUP($B128,Ref_Acuerdos!$A:$E,3,FALSE())),1,0),0)</f>
        <v>0</v>
      </c>
      <c r="I128" s="4" t="n">
        <f aca="false">IFERROR(IF(AND(VLOOKUP($B128,Ref_Acuerdos!$A:$E,2,FALSE())="PTA",$A128&gt;=VLOOKUP($B128,Ref_Acuerdos!$A:$E,3,FALSE())),1,0),0)</f>
        <v>1</v>
      </c>
      <c r="J128" s="7" t="n">
        <f aca="false">IFERROR(IF($A128&gt;=VLOOKUP($B128,Ref_Acuerdos!$A:$E,3,FALSE()),VLOOKUP($B128,Ref_Acuerdos!$A:$E,4,FALSE()),""),"")</f>
        <v>10</v>
      </c>
      <c r="K128" s="4" t="str">
        <f aca="false">IFERROR(IF($A128&gt;=VLOOKUP($B128,Ref_Acuerdos!$A:$E,3,FALSE()),VLOOKUP($B128,Ref_Acuerdos!$A:$E,5,FALSE()),"Sin FTA/PTA vigente ese año - arancel NMF"),"Sin FTA/PTA identificado - arancel NMF")</f>
        <v>ALADI - Acuerdo de Alcance Parcial (preferencia limitada, tarifa referencial)</v>
      </c>
    </row>
    <row r="129" customFormat="false" ht="15" hidden="false" customHeight="false" outlineLevel="0" collapsed="false">
      <c r="A129" s="2" t="n">
        <v>2011</v>
      </c>
      <c r="B129" s="2" t="s">
        <v>25</v>
      </c>
      <c r="C129" s="4" t="str">
        <f aca="false">IFERROR(VLOOKUP($B129,Ref_Continente!$A:$B,2,FALSE()),"Sin clasificar")</f>
        <v>North America</v>
      </c>
      <c r="D129" s="5" t="n">
        <v>105693</v>
      </c>
      <c r="E129" s="6" t="n">
        <v>20367</v>
      </c>
      <c r="F129" s="6" t="n">
        <v>5900</v>
      </c>
      <c r="G129" s="5" t="n">
        <v>1793326630174.52</v>
      </c>
      <c r="H129" s="4" t="n">
        <f aca="false">IFERROR(IF(AND(VLOOKUP($B129,Ref_Acuerdos!$A:$E,2,FALSE())="FTA",$A129&gt;=VLOOKUP($B129,Ref_Acuerdos!$A:$E,3,FALSE())),1,0),0)</f>
        <v>0</v>
      </c>
      <c r="I129" s="4" t="n">
        <f aca="false">IFERROR(IF(AND(VLOOKUP($B129,Ref_Acuerdos!$A:$E,2,FALSE())="PTA",$A129&gt;=VLOOKUP($B129,Ref_Acuerdos!$A:$E,3,FALSE())),1,0),0)</f>
        <v>0</v>
      </c>
      <c r="J129" s="7" t="str">
        <f aca="false">IFERROR(IF($A129&gt;=VLOOKUP($B129,Ref_Acuerdos!$A:$E,3,FALSE()),VLOOKUP($B129,Ref_Acuerdos!$A:$E,4,FALSE()),""),"")</f>
        <v/>
      </c>
      <c r="K129" s="4" t="str">
        <f aca="false">IFERROR(IF($A129&gt;=VLOOKUP($B129,Ref_Acuerdos!$A:$E,3,FALSE()),VLOOKUP($B129,Ref_Acuerdos!$A:$E,5,FALSE()),"Sin FTA/PTA vigente ese año - arancel NMF"),"Sin FTA/PTA identificado - arancel NMF")</f>
        <v>Sin FTA/PTA identificado - arancel NMF</v>
      </c>
    </row>
    <row r="130" customFormat="false" ht="15" hidden="false" customHeight="false" outlineLevel="0" collapsed="false">
      <c r="A130" s="2" t="n">
        <v>2011</v>
      </c>
      <c r="B130" s="2" t="s">
        <v>6</v>
      </c>
      <c r="C130" s="4" t="str">
        <f aca="false">IFERROR(VLOOKUP($B130,Ref_Continente!$A:$B,2,FALSE()),"Sin clasificar")</f>
        <v>South America</v>
      </c>
      <c r="D130" s="5" t="n">
        <v>98283</v>
      </c>
      <c r="E130" s="6" t="n">
        <v>25366</v>
      </c>
      <c r="F130" s="6" t="n">
        <v>4320</v>
      </c>
      <c r="G130" s="5" t="n">
        <v>530158122010.44</v>
      </c>
      <c r="H130" s="4" t="n">
        <f aca="false">IFERROR(IF(AND(VLOOKUP($B130,Ref_Acuerdos!$A:$E,2,FALSE())="FTA",$A130&gt;=VLOOKUP($B130,Ref_Acuerdos!$A:$E,3,FALSE())),1,0),0)</f>
        <v>0</v>
      </c>
      <c r="I130" s="4" t="n">
        <f aca="false">IFERROR(IF(AND(VLOOKUP($B130,Ref_Acuerdos!$A:$E,2,FALSE())="PTA",$A130&gt;=VLOOKUP($B130,Ref_Acuerdos!$A:$E,3,FALSE())),1,0),0)</f>
        <v>1</v>
      </c>
      <c r="J130" s="7" t="n">
        <f aca="false">IFERROR(IF($A130&gt;=VLOOKUP($B130,Ref_Acuerdos!$A:$E,3,FALSE()),VLOOKUP($B130,Ref_Acuerdos!$A:$E,4,FALSE()),""),"")</f>
        <v>5</v>
      </c>
      <c r="K130" s="4" t="str">
        <f aca="false">IFERROR(IF($A130&gt;=VLOOKUP($B130,Ref_Acuerdos!$A:$E,3,FALSE()),VLOOKUP($B130,Ref_Acuerdos!$A:$E,5,FALSE()),"Sin FTA/PTA vigente ese año - arancel NMF"),"Sin FTA/PTA identificado - arancel NMF")</f>
        <v>Ecuador-Mercosur ACE 59 - preferencias parciales (tarifa referencial)</v>
      </c>
    </row>
    <row r="131" customFormat="false" ht="15" hidden="false" customHeight="false" outlineLevel="0" collapsed="false">
      <c r="A131" s="2" t="n">
        <v>2011</v>
      </c>
      <c r="B131" s="2" t="s">
        <v>45</v>
      </c>
      <c r="C131" s="4" t="str">
        <f aca="false">IFERROR(VLOOKUP($B131,Ref_Continente!$A:$B,2,FALSE()),"Sin clasificar")</f>
        <v>Europe</v>
      </c>
      <c r="D131" s="5" t="n">
        <v>89213</v>
      </c>
      <c r="E131" s="6" t="n">
        <v>16044</v>
      </c>
      <c r="F131" s="6" t="n">
        <v>9650</v>
      </c>
      <c r="G131" s="5" t="n">
        <v>3823575803793.78</v>
      </c>
      <c r="H131" s="4" t="n">
        <f aca="false">IFERROR(IF(AND(VLOOKUP($B131,Ref_Acuerdos!$A:$E,2,FALSE())="FTA",$A131&gt;=VLOOKUP($B131,Ref_Acuerdos!$A:$E,3,FALSE())),1,0),0)</f>
        <v>0</v>
      </c>
      <c r="I131" s="4" t="n">
        <f aca="false">IFERROR(IF(AND(VLOOKUP($B131,Ref_Acuerdos!$A:$E,2,FALSE())="PTA",$A131&gt;=VLOOKUP($B131,Ref_Acuerdos!$A:$E,3,FALSE())),1,0),0)</f>
        <v>0</v>
      </c>
      <c r="J131" s="7" t="str">
        <f aca="false">IFERROR(IF($A131&gt;=VLOOKUP($B131,Ref_Acuerdos!$A:$E,3,FALSE()),VLOOKUP($B131,Ref_Acuerdos!$A:$E,4,FALSE()),""),"")</f>
        <v/>
      </c>
      <c r="K131" s="4" t="str">
        <f aca="false">IFERROR(IF($A131&gt;=VLOOKUP($B131,Ref_Acuerdos!$A:$E,3,FALSE()),VLOOKUP($B131,Ref_Acuerdos!$A:$E,5,FALSE()),"Sin FTA/PTA vigente ese año - arancel NMF"),"Sin FTA/PTA identificado - arancel NMF")</f>
        <v>Sin FTA/PTA vigente ese año - arancel NMF</v>
      </c>
    </row>
    <row r="132" customFormat="false" ht="15" hidden="false" customHeight="false" outlineLevel="0" collapsed="false">
      <c r="A132" s="2" t="n">
        <v>2011</v>
      </c>
      <c r="B132" s="2" t="s">
        <v>32</v>
      </c>
      <c r="C132" s="4" t="str">
        <f aca="false">IFERROR(VLOOKUP($B132,Ref_Continente!$A:$B,2,FALSE()),"Sin clasificar")</f>
        <v>North America</v>
      </c>
      <c r="D132" s="5" t="n">
        <v>31045</v>
      </c>
      <c r="E132" s="6" t="n">
        <v>5725</v>
      </c>
      <c r="F132" s="6" t="n">
        <v>2450</v>
      </c>
      <c r="G132" s="5" t="n">
        <v>68990000000</v>
      </c>
      <c r="H132" s="4" t="n">
        <f aca="false">IFERROR(IF(AND(VLOOKUP($B132,Ref_Acuerdos!$A:$E,2,FALSE())="FTA",$A132&gt;=VLOOKUP($B132,Ref_Acuerdos!$A:$E,3,FALSE())),1,0),0)</f>
        <v>0</v>
      </c>
      <c r="I132" s="4" t="n">
        <f aca="false">IFERROR(IF(AND(VLOOKUP($B132,Ref_Acuerdos!$A:$E,2,FALSE())="PTA",$A132&gt;=VLOOKUP($B132,Ref_Acuerdos!$A:$E,3,FALSE())),1,0),0)</f>
        <v>1</v>
      </c>
      <c r="J132" s="7" t="n">
        <f aca="false">IFERROR(IF($A132&gt;=VLOOKUP($B132,Ref_Acuerdos!$A:$E,3,FALSE()),VLOOKUP($B132,Ref_Acuerdos!$A:$E,4,FALSE()),""),"")</f>
        <v>10</v>
      </c>
      <c r="K132" s="4" t="str">
        <f aca="false">IFERROR(IF($A132&gt;=VLOOKUP($B132,Ref_Acuerdos!$A:$E,3,FALSE()),VLOOKUP($B132,Ref_Acuerdos!$A:$E,5,FALSE()),"Sin FTA/PTA vigente ese año - arancel NMF"),"Sin FTA/PTA identificado - arancel NMF")</f>
        <v>ALADI - Acuerdo de Alcance Parcial (preferencia limitada, tarifa referencial)</v>
      </c>
    </row>
    <row r="133" customFormat="false" ht="15" hidden="false" customHeight="false" outlineLevel="0" collapsed="false">
      <c r="A133" s="2" t="n">
        <v>2011</v>
      </c>
      <c r="B133" s="2" t="s">
        <v>118</v>
      </c>
      <c r="C133" s="4" t="str">
        <f aca="false">IFERROR(VLOOKUP($B133,Ref_Continente!$A:$B,2,FALSE()),"Sin clasificar")</f>
        <v>South America</v>
      </c>
      <c r="D133" s="5" t="n">
        <v>29834</v>
      </c>
      <c r="E133" s="6" t="n">
        <v>9386</v>
      </c>
      <c r="F133" s="6" t="n">
        <v>4650</v>
      </c>
      <c r="G133" s="5" t="n">
        <v>50342406067.08</v>
      </c>
      <c r="H133" s="4" t="n">
        <f aca="false">IFERROR(IF(AND(VLOOKUP($B133,Ref_Acuerdos!$A:$E,2,FALSE())="FTA",$A133&gt;=VLOOKUP($B133,Ref_Acuerdos!$A:$E,3,FALSE())),1,0),0)</f>
        <v>0</v>
      </c>
      <c r="I133" s="4" t="n">
        <f aca="false">IFERROR(IF(AND(VLOOKUP($B133,Ref_Acuerdos!$A:$E,2,FALSE())="PTA",$A133&gt;=VLOOKUP($B133,Ref_Acuerdos!$A:$E,3,FALSE())),1,0),0)</f>
        <v>1</v>
      </c>
      <c r="J133" s="7" t="n">
        <f aca="false">IFERROR(IF($A133&gt;=VLOOKUP($B133,Ref_Acuerdos!$A:$E,3,FALSE()),VLOOKUP($B133,Ref_Acuerdos!$A:$E,4,FALSE()),""),"")</f>
        <v>5</v>
      </c>
      <c r="K133" s="4" t="str">
        <f aca="false">IFERROR(IF($A133&gt;=VLOOKUP($B133,Ref_Acuerdos!$A:$E,3,FALSE()),VLOOKUP($B133,Ref_Acuerdos!$A:$E,5,FALSE()),"Sin FTA/PTA vigente ese año - arancel NMF"),"Sin FTA/PTA identificado - arancel NMF")</f>
        <v>Ecuador-Mercosur ACE 59 - preferencias parciales (tarifa referencial)</v>
      </c>
    </row>
    <row r="134" customFormat="false" ht="15" hidden="false" customHeight="false" outlineLevel="0" collapsed="false">
      <c r="A134" s="2" t="n">
        <v>2011</v>
      </c>
      <c r="B134" s="2" t="s">
        <v>92</v>
      </c>
      <c r="C134" s="4" t="str">
        <f aca="false">IFERROR(VLOOKUP($B134,Ref_Continente!$A:$B,2,FALSE()),"Sin clasificar")</f>
        <v>Asia</v>
      </c>
      <c r="D134" s="5" t="n">
        <v>21956</v>
      </c>
      <c r="E134" s="6" t="n">
        <v>5122</v>
      </c>
      <c r="F134" s="6" t="n">
        <v>14000</v>
      </c>
      <c r="G134" s="5" t="n">
        <v>167775274725.28</v>
      </c>
      <c r="H134" s="4" t="n">
        <f aca="false">IFERROR(IF(AND(VLOOKUP($B134,Ref_Acuerdos!$A:$E,2,FALSE())="FTA",$A134&gt;=VLOOKUP($B134,Ref_Acuerdos!$A:$E,3,FALSE())),1,0),0)</f>
        <v>0</v>
      </c>
      <c r="I134" s="4" t="n">
        <f aca="false">IFERROR(IF(AND(VLOOKUP($B134,Ref_Acuerdos!$A:$E,2,FALSE())="PTA",$A134&gt;=VLOOKUP($B134,Ref_Acuerdos!$A:$E,3,FALSE())),1,0),0)</f>
        <v>0</v>
      </c>
      <c r="J134" s="7" t="str">
        <f aca="false">IFERROR(IF($A134&gt;=VLOOKUP($B134,Ref_Acuerdos!$A:$E,3,FALSE()),VLOOKUP($B134,Ref_Acuerdos!$A:$E,4,FALSE()),""),"")</f>
        <v/>
      </c>
      <c r="K134" s="4" t="str">
        <f aca="false">IFERROR(IF($A134&gt;=VLOOKUP($B134,Ref_Acuerdos!$A:$E,3,FALSE()),VLOOKUP($B134,Ref_Acuerdos!$A:$E,5,FALSE()),"Sin FTA/PTA vigente ese año - arancel NMF"),"Sin FTA/PTA identificado - arancel NMF")</f>
        <v>Sin FTA/PTA identificado - arancel NMF</v>
      </c>
    </row>
    <row r="135" customFormat="false" ht="15" hidden="false" customHeight="false" outlineLevel="0" collapsed="false">
      <c r="A135" s="2" t="n">
        <v>2011</v>
      </c>
      <c r="B135" s="2" t="s">
        <v>80</v>
      </c>
      <c r="C135" s="4" t="str">
        <f aca="false">IFERROR(VLOOKUP($B135,Ref_Continente!$A:$B,2,FALSE()),"Sin clasificar")</f>
        <v>North America</v>
      </c>
      <c r="D135" s="5" t="n">
        <v>15583</v>
      </c>
      <c r="E135" s="6" t="n">
        <v>3967</v>
      </c>
      <c r="F135" s="6" t="n">
        <v>1730</v>
      </c>
      <c r="G135" s="5" t="n">
        <v>9774329332.71</v>
      </c>
      <c r="H135" s="4" t="n">
        <f aca="false">IFERROR(IF(AND(VLOOKUP($B135,Ref_Acuerdos!$A:$E,2,FALSE())="FTA",$A135&gt;=VLOOKUP($B135,Ref_Acuerdos!$A:$E,3,FALSE())),1,0),0)</f>
        <v>0</v>
      </c>
      <c r="I135" s="4" t="n">
        <f aca="false">IFERROR(IF(AND(VLOOKUP($B135,Ref_Acuerdos!$A:$E,2,FALSE())="PTA",$A135&gt;=VLOOKUP($B135,Ref_Acuerdos!$A:$E,3,FALSE())),1,0),0)</f>
        <v>1</v>
      </c>
      <c r="J135" s="7" t="n">
        <f aca="false">IFERROR(IF($A135&gt;=VLOOKUP($B135,Ref_Acuerdos!$A:$E,3,FALSE()),VLOOKUP($B135,Ref_Acuerdos!$A:$E,4,FALSE()),""),"")</f>
        <v>10</v>
      </c>
      <c r="K135" s="4" t="str">
        <f aca="false">IFERROR(IF($A135&gt;=VLOOKUP($B135,Ref_Acuerdos!$A:$E,3,FALSE()),VLOOKUP($B135,Ref_Acuerdos!$A:$E,5,FALSE()),"Sin FTA/PTA vigente ese año - arancel NMF"),"Sin FTA/PTA identificado - arancel NMF")</f>
        <v>ALADI - Acuerdo de Alcance Parcial (preferencia limitada, tarifa referencial)</v>
      </c>
    </row>
    <row r="136" customFormat="false" ht="15" hidden="false" customHeight="false" outlineLevel="0" collapsed="false">
      <c r="A136" s="2" t="n">
        <v>2011</v>
      </c>
      <c r="B136" s="2" t="s">
        <v>19</v>
      </c>
      <c r="C136" s="4" t="str">
        <f aca="false">IFERROR(VLOOKUP($B136,Ref_Continente!$A:$B,2,FALSE()),"Sin clasificar")</f>
        <v>Europe</v>
      </c>
      <c r="D136" s="5" t="n">
        <v>15080</v>
      </c>
      <c r="E136" s="6" t="n">
        <v>3138</v>
      </c>
      <c r="F136" s="6" t="n">
        <v>10600</v>
      </c>
      <c r="G136" s="5" t="n">
        <v>61762382327.93</v>
      </c>
      <c r="H136" s="4" t="n">
        <f aca="false">IFERROR(IF(AND(VLOOKUP($B136,Ref_Acuerdos!$A:$E,2,FALSE())="FTA",$A136&gt;=VLOOKUP($B136,Ref_Acuerdos!$A:$E,3,FALSE())),1,0),0)</f>
        <v>0</v>
      </c>
      <c r="I136" s="4" t="n">
        <f aca="false">IFERROR(IF(AND(VLOOKUP($B136,Ref_Acuerdos!$A:$E,2,FALSE())="PTA",$A136&gt;=VLOOKUP($B136,Ref_Acuerdos!$A:$E,3,FALSE())),1,0),0)</f>
        <v>0</v>
      </c>
      <c r="J136" s="7" t="str">
        <f aca="false">IFERROR(IF($A136&gt;=VLOOKUP($B136,Ref_Acuerdos!$A:$E,3,FALSE()),VLOOKUP($B136,Ref_Acuerdos!$A:$E,4,FALSE()),""),"")</f>
        <v/>
      </c>
      <c r="K136" s="4" t="str">
        <f aca="false">IFERROR(IF($A136&gt;=VLOOKUP($B136,Ref_Acuerdos!$A:$E,3,FALSE()),VLOOKUP($B136,Ref_Acuerdos!$A:$E,5,FALSE()),"Sin FTA/PTA vigente ese año - arancel NMF"),"Sin FTA/PTA identificado - arancel NMF")</f>
        <v>Sin FTA/PTA identificado - arancel NMF</v>
      </c>
    </row>
    <row r="137" customFormat="false" ht="15" hidden="false" customHeight="false" outlineLevel="0" collapsed="false">
      <c r="A137" s="2" t="n">
        <v>2011</v>
      </c>
      <c r="B137" s="2" t="s">
        <v>43</v>
      </c>
      <c r="C137" s="4" t="str">
        <f aca="false">IFERROR(VLOOKUP($B137,Ref_Continente!$A:$B,2,FALSE()),"Sin clasificar")</f>
        <v>Sin clasificar</v>
      </c>
      <c r="D137" s="5" t="n">
        <v>14549</v>
      </c>
      <c r="E137" s="6" t="n">
        <v>168</v>
      </c>
      <c r="F137" s="6" t="n">
        <v>0</v>
      </c>
      <c r="G137" s="5"/>
      <c r="H137" s="4" t="n">
        <f aca="false">IFERROR(IF(AND(VLOOKUP($B137,Ref_Acuerdos!$A:$E,2,FALSE())="FTA",$A137&gt;=VLOOKUP($B137,Ref_Acuerdos!$A:$E,3,FALSE())),1,0),0)</f>
        <v>0</v>
      </c>
      <c r="I137" s="4" t="n">
        <f aca="false">IFERROR(IF(AND(VLOOKUP($B137,Ref_Acuerdos!$A:$E,2,FALSE())="PTA",$A137&gt;=VLOOKUP($B137,Ref_Acuerdos!$A:$E,3,FALSE())),1,0),0)</f>
        <v>0</v>
      </c>
      <c r="J137" s="7" t="str">
        <f aca="false">IFERROR(IF($A137&gt;=VLOOKUP($B137,Ref_Acuerdos!$A:$E,3,FALSE()),VLOOKUP($B137,Ref_Acuerdos!$A:$E,4,FALSE()),""),"")</f>
        <v/>
      </c>
      <c r="K137" s="4" t="str">
        <f aca="false">IFERROR(IF($A137&gt;=VLOOKUP($B137,Ref_Acuerdos!$A:$E,3,FALSE()),VLOOKUP($B137,Ref_Acuerdos!$A:$E,5,FALSE()),"Sin FTA/PTA vigente ese año - arancel NMF"),"Sin FTA/PTA identificado - arancel NMF")</f>
        <v>Sin FTA/PTA identificado - arancel NMF</v>
      </c>
    </row>
    <row r="138" customFormat="false" ht="15" hidden="false" customHeight="false" outlineLevel="0" collapsed="false">
      <c r="A138" s="2" t="n">
        <v>2011</v>
      </c>
      <c r="B138" s="2" t="s">
        <v>116</v>
      </c>
      <c r="C138" s="4" t="str">
        <f aca="false">IFERROR(VLOOKUP($B138,Ref_Continente!$A:$B,2,FALSE()),"Sin clasificar")</f>
        <v>Asia</v>
      </c>
      <c r="D138" s="5" t="n">
        <v>13345</v>
      </c>
      <c r="E138" s="6" t="n">
        <v>268</v>
      </c>
      <c r="F138" s="6" t="n">
        <v>14200</v>
      </c>
      <c r="G138" s="5" t="n">
        <v>368881143635.13</v>
      </c>
      <c r="H138" s="4" t="n">
        <f aca="false">IFERROR(IF(AND(VLOOKUP($B138,Ref_Acuerdos!$A:$E,2,FALSE())="FTA",$A138&gt;=VLOOKUP($B138,Ref_Acuerdos!$A:$E,3,FALSE())),1,0),0)</f>
        <v>0</v>
      </c>
      <c r="I138" s="4" t="n">
        <f aca="false">IFERROR(IF(AND(VLOOKUP($B138,Ref_Acuerdos!$A:$E,2,FALSE())="PTA",$A138&gt;=VLOOKUP($B138,Ref_Acuerdos!$A:$E,3,FALSE())),1,0),0)</f>
        <v>0</v>
      </c>
      <c r="J138" s="7" t="str">
        <f aca="false">IFERROR(IF($A138&gt;=VLOOKUP($B138,Ref_Acuerdos!$A:$E,3,FALSE()),VLOOKUP($B138,Ref_Acuerdos!$A:$E,4,FALSE()),""),"")</f>
        <v/>
      </c>
      <c r="K138" s="4" t="str">
        <f aca="false">IFERROR(IF($A138&gt;=VLOOKUP($B138,Ref_Acuerdos!$A:$E,3,FALSE()),VLOOKUP($B138,Ref_Acuerdos!$A:$E,5,FALSE()),"Sin FTA/PTA vigente ese año - arancel NMF"),"Sin FTA/PTA identificado - arancel NMF")</f>
        <v>Sin FTA/PTA identificado - arancel NMF</v>
      </c>
    </row>
    <row r="139" customFormat="false" ht="15" hidden="false" customHeight="false" outlineLevel="0" collapsed="false">
      <c r="A139" s="2" t="n">
        <v>2011</v>
      </c>
      <c r="B139" s="2" t="s">
        <v>64</v>
      </c>
      <c r="C139" s="4" t="str">
        <f aca="false">IFERROR(VLOOKUP($B139,Ref_Continente!$A:$B,2,FALSE()),"Sin clasificar")</f>
        <v>Asia</v>
      </c>
      <c r="D139" s="5" t="n">
        <v>13123</v>
      </c>
      <c r="E139" s="6" t="n">
        <v>3099</v>
      </c>
      <c r="F139" s="6" t="n">
        <v>13500</v>
      </c>
      <c r="G139" s="5" t="n">
        <v>154039231245.86</v>
      </c>
      <c r="H139" s="4" t="n">
        <f aca="false">IFERROR(IF(AND(VLOOKUP($B139,Ref_Acuerdos!$A:$E,2,FALSE())="FTA",$A139&gt;=VLOOKUP($B139,Ref_Acuerdos!$A:$E,3,FALSE())),1,0),0)</f>
        <v>0</v>
      </c>
      <c r="I139" s="4" t="n">
        <f aca="false">IFERROR(IF(AND(VLOOKUP($B139,Ref_Acuerdos!$A:$E,2,FALSE())="PTA",$A139&gt;=VLOOKUP($B139,Ref_Acuerdos!$A:$E,3,FALSE())),1,0),0)</f>
        <v>0</v>
      </c>
      <c r="J139" s="7" t="str">
        <f aca="false">IFERROR(IF($A139&gt;=VLOOKUP($B139,Ref_Acuerdos!$A:$E,3,FALSE()),VLOOKUP($B139,Ref_Acuerdos!$A:$E,4,FALSE()),""),"")</f>
        <v/>
      </c>
      <c r="K139" s="4" t="str">
        <f aca="false">IFERROR(IF($A139&gt;=VLOOKUP($B139,Ref_Acuerdos!$A:$E,3,FALSE()),VLOOKUP($B139,Ref_Acuerdos!$A:$E,5,FALSE()),"Sin FTA/PTA vigente ese año - arancel NMF"),"Sin FTA/PTA identificado - arancel NMF")</f>
        <v>Sin FTA/PTA identificado - arancel NMF</v>
      </c>
    </row>
    <row r="140" customFormat="false" ht="15" hidden="false" customHeight="false" outlineLevel="0" collapsed="false">
      <c r="A140" s="2" t="n">
        <v>2011</v>
      </c>
      <c r="B140" s="2" t="s">
        <v>14</v>
      </c>
      <c r="C140" s="4" t="str">
        <f aca="false">IFERROR(VLOOKUP($B140,Ref_Continente!$A:$B,2,FALSE()),"Sin clasificar")</f>
        <v>Europe</v>
      </c>
      <c r="D140" s="5" t="n">
        <v>12899</v>
      </c>
      <c r="E140" s="6" t="n">
        <v>1752</v>
      </c>
      <c r="F140" s="6" t="n">
        <v>10050</v>
      </c>
      <c r="G140" s="5" t="n">
        <v>428954737064.06</v>
      </c>
      <c r="H140" s="4" t="n">
        <f aca="false">IFERROR(IF(AND(VLOOKUP($B140,Ref_Acuerdos!$A:$E,2,FALSE())="FTA",$A140&gt;=VLOOKUP($B140,Ref_Acuerdos!$A:$E,3,FALSE())),1,0),0)</f>
        <v>0</v>
      </c>
      <c r="I140" s="4" t="n">
        <f aca="false">IFERROR(IF(AND(VLOOKUP($B140,Ref_Acuerdos!$A:$E,2,FALSE())="PTA",$A140&gt;=VLOOKUP($B140,Ref_Acuerdos!$A:$E,3,FALSE())),1,0),0)</f>
        <v>0</v>
      </c>
      <c r="J140" s="7" t="str">
        <f aca="false">IFERROR(IF($A140&gt;=VLOOKUP($B140,Ref_Acuerdos!$A:$E,3,FALSE()),VLOOKUP($B140,Ref_Acuerdos!$A:$E,4,FALSE()),""),"")</f>
        <v/>
      </c>
      <c r="K140" s="4" t="str">
        <f aca="false">IFERROR(IF($A140&gt;=VLOOKUP($B140,Ref_Acuerdos!$A:$E,3,FALSE()),VLOOKUP($B140,Ref_Acuerdos!$A:$E,5,FALSE()),"Sin FTA/PTA vigente ese año - arancel NMF"),"Sin FTA/PTA identificado - arancel NMF")</f>
        <v>Sin FTA/PTA vigente ese año - arancel NMF</v>
      </c>
    </row>
    <row r="141" customFormat="false" ht="15" hidden="false" customHeight="false" outlineLevel="0" collapsed="false">
      <c r="A141" s="2" t="n">
        <v>2011</v>
      </c>
      <c r="B141" s="2" t="s">
        <v>100</v>
      </c>
      <c r="C141" s="4" t="str">
        <f aca="false">IFERROR(VLOOKUP($B141,Ref_Continente!$A:$B,2,FALSE()),"Sin clasificar")</f>
        <v>Asia</v>
      </c>
      <c r="D141" s="5" t="n">
        <v>12727</v>
      </c>
      <c r="E141" s="6" t="n">
        <v>4775</v>
      </c>
      <c r="F141" s="6" t="n">
        <v>13800</v>
      </c>
      <c r="G141" s="5" t="n">
        <v>680660800000</v>
      </c>
      <c r="H141" s="4" t="n">
        <f aca="false">IFERROR(IF(AND(VLOOKUP($B141,Ref_Acuerdos!$A:$E,2,FALSE())="FTA",$A141&gt;=VLOOKUP($B141,Ref_Acuerdos!$A:$E,3,FALSE())),1,0),0)</f>
        <v>0</v>
      </c>
      <c r="I141" s="4" t="n">
        <f aca="false">IFERROR(IF(AND(VLOOKUP($B141,Ref_Acuerdos!$A:$E,2,FALSE())="PTA",$A141&gt;=VLOOKUP($B141,Ref_Acuerdos!$A:$E,3,FALSE())),1,0),0)</f>
        <v>0</v>
      </c>
      <c r="J141" s="7" t="str">
        <f aca="false">IFERROR(IF($A141&gt;=VLOOKUP($B141,Ref_Acuerdos!$A:$E,3,FALSE()),VLOOKUP($B141,Ref_Acuerdos!$A:$E,4,FALSE()),""),"")</f>
        <v/>
      </c>
      <c r="K141" s="4" t="str">
        <f aca="false">IFERROR(IF($A141&gt;=VLOOKUP($B141,Ref_Acuerdos!$A:$E,3,FALSE()),VLOOKUP($B141,Ref_Acuerdos!$A:$E,5,FALSE()),"Sin FTA/PTA vigente ese año - arancel NMF"),"Sin FTA/PTA identificado - arancel NMF")</f>
        <v>Sin FTA/PTA identificado - arancel NMF</v>
      </c>
    </row>
    <row r="142" customFormat="false" ht="15" hidden="false" customHeight="false" outlineLevel="0" collapsed="false">
      <c r="A142" s="2" t="n">
        <v>2011</v>
      </c>
      <c r="B142" s="2" t="s">
        <v>66</v>
      </c>
      <c r="C142" s="4" t="str">
        <f aca="false">IFERROR(VLOOKUP($B142,Ref_Continente!$A:$B,2,FALSE()),"Sin clasificar")</f>
        <v>Europe</v>
      </c>
      <c r="D142" s="5" t="n">
        <v>8821</v>
      </c>
      <c r="E142" s="6" t="n">
        <v>1547</v>
      </c>
      <c r="F142" s="6" t="n">
        <v>10400</v>
      </c>
      <c r="G142" s="5" t="n">
        <v>26575547900.82</v>
      </c>
      <c r="H142" s="4" t="n">
        <f aca="false">IFERROR(IF(AND(VLOOKUP($B142,Ref_Acuerdos!$A:$E,2,FALSE())="FTA",$A142&gt;=VLOOKUP($B142,Ref_Acuerdos!$A:$E,3,FALSE())),1,0),0)</f>
        <v>0</v>
      </c>
      <c r="I142" s="4" t="n">
        <f aca="false">IFERROR(IF(AND(VLOOKUP($B142,Ref_Acuerdos!$A:$E,2,FALSE())="PTA",$A142&gt;=VLOOKUP($B142,Ref_Acuerdos!$A:$E,3,FALSE())),1,0),0)</f>
        <v>0</v>
      </c>
      <c r="J142" s="7" t="str">
        <f aca="false">IFERROR(IF($A142&gt;=VLOOKUP($B142,Ref_Acuerdos!$A:$E,3,FALSE()),VLOOKUP($B142,Ref_Acuerdos!$A:$E,4,FALSE()),""),"")</f>
        <v/>
      </c>
      <c r="K142" s="4" t="str">
        <f aca="false">IFERROR(IF($A142&gt;=VLOOKUP($B142,Ref_Acuerdos!$A:$E,3,FALSE()),VLOOKUP($B142,Ref_Acuerdos!$A:$E,5,FALSE()),"Sin FTA/PTA vigente ese año - arancel NMF"),"Sin FTA/PTA identificado - arancel NMF")</f>
        <v>Sin FTA/PTA vigente ese año - arancel NMF</v>
      </c>
    </row>
    <row r="143" customFormat="false" ht="15" hidden="false" customHeight="false" outlineLevel="0" collapsed="false">
      <c r="A143" s="2" t="n">
        <v>2011</v>
      </c>
      <c r="B143" s="2" t="s">
        <v>89</v>
      </c>
      <c r="C143" s="4" t="str">
        <f aca="false">IFERROR(VLOOKUP($B143,Ref_Continente!$A:$B,2,FALSE()),"Sin clasificar")</f>
        <v>Asia</v>
      </c>
      <c r="D143" s="5" t="n">
        <v>6578</v>
      </c>
      <c r="E143" s="6" t="n">
        <v>1119</v>
      </c>
      <c r="F143" s="6" t="n">
        <v>17800</v>
      </c>
      <c r="G143" s="5" t="n">
        <v>234216730291.32</v>
      </c>
      <c r="H143" s="4" t="n">
        <f aca="false">IFERROR(IF(AND(VLOOKUP($B143,Ref_Acuerdos!$A:$E,2,FALSE())="FTA",$A143&gt;=VLOOKUP($B143,Ref_Acuerdos!$A:$E,3,FALSE())),1,0),0)</f>
        <v>0</v>
      </c>
      <c r="I143" s="4" t="n">
        <f aca="false">IFERROR(IF(AND(VLOOKUP($B143,Ref_Acuerdos!$A:$E,2,FALSE())="PTA",$A143&gt;=VLOOKUP($B143,Ref_Acuerdos!$A:$E,3,FALSE())),1,0),0)</f>
        <v>0</v>
      </c>
      <c r="J143" s="7" t="str">
        <f aca="false">IFERROR(IF($A143&gt;=VLOOKUP($B143,Ref_Acuerdos!$A:$E,3,FALSE()),VLOOKUP($B143,Ref_Acuerdos!$A:$E,4,FALSE()),""),"")</f>
        <v/>
      </c>
      <c r="K143" s="4" t="str">
        <f aca="false">IFERROR(IF($A143&gt;=VLOOKUP($B143,Ref_Acuerdos!$A:$E,3,FALSE()),VLOOKUP($B143,Ref_Acuerdos!$A:$E,5,FALSE()),"Sin FTA/PTA vigente ese año - arancel NMF"),"Sin FTA/PTA identificado - arancel NMF")</f>
        <v>Sin FTA/PTA identificado - arancel NMF</v>
      </c>
    </row>
    <row r="144" customFormat="false" ht="15" hidden="false" customHeight="false" outlineLevel="0" collapsed="false">
      <c r="A144" s="2" t="n">
        <v>2011</v>
      </c>
      <c r="B144" s="2" t="s">
        <v>12</v>
      </c>
      <c r="C144" s="4" t="str">
        <f aca="false">IFERROR(VLOOKUP($B144,Ref_Continente!$A:$B,2,FALSE()),"Sin clasificar")</f>
        <v>Oceania</v>
      </c>
      <c r="D144" s="5" t="n">
        <v>6518</v>
      </c>
      <c r="E144" s="6" t="n">
        <v>1329</v>
      </c>
      <c r="F144" s="6" t="n">
        <v>14000</v>
      </c>
      <c r="G144" s="5" t="n">
        <v>1402939868653.4</v>
      </c>
      <c r="H144" s="4" t="n">
        <f aca="false">IFERROR(IF(AND(VLOOKUP($B144,Ref_Acuerdos!$A:$E,2,FALSE())="FTA",$A144&gt;=VLOOKUP($B144,Ref_Acuerdos!$A:$E,3,FALSE())),1,0),0)</f>
        <v>0</v>
      </c>
      <c r="I144" s="4" t="n">
        <f aca="false">IFERROR(IF(AND(VLOOKUP($B144,Ref_Acuerdos!$A:$E,2,FALSE())="PTA",$A144&gt;=VLOOKUP($B144,Ref_Acuerdos!$A:$E,3,FALSE())),1,0),0)</f>
        <v>0</v>
      </c>
      <c r="J144" s="7" t="str">
        <f aca="false">IFERROR(IF($A144&gt;=VLOOKUP($B144,Ref_Acuerdos!$A:$E,3,FALSE()),VLOOKUP($B144,Ref_Acuerdos!$A:$E,4,FALSE()),""),"")</f>
        <v/>
      </c>
      <c r="K144" s="4" t="str">
        <f aca="false">IFERROR(IF($A144&gt;=VLOOKUP($B144,Ref_Acuerdos!$A:$E,3,FALSE()),VLOOKUP($B144,Ref_Acuerdos!$A:$E,5,FALSE()),"Sin FTA/PTA vigente ese año - arancel NMF"),"Sin FTA/PTA identificado - arancel NMF")</f>
        <v>Sin FTA/PTA identificado - arancel NMF</v>
      </c>
    </row>
    <row r="145" customFormat="false" ht="15" hidden="false" customHeight="false" outlineLevel="0" collapsed="false">
      <c r="A145" s="2" t="n">
        <v>2011</v>
      </c>
      <c r="B145" s="2" t="s">
        <v>42</v>
      </c>
      <c r="C145" s="4" t="str">
        <f aca="false">IFERROR(VLOOKUP($B145,Ref_Continente!$A:$B,2,FALSE()),"Sin clasificar")</f>
        <v>Europe</v>
      </c>
      <c r="D145" s="5" t="n">
        <v>6104</v>
      </c>
      <c r="E145" s="6" t="n">
        <v>107</v>
      </c>
      <c r="F145" s="6" t="n">
        <v>9150</v>
      </c>
      <c r="G145" s="5" t="n">
        <v>2870408553990.28</v>
      </c>
      <c r="H145" s="4" t="n">
        <f aca="false">IFERROR(IF(AND(VLOOKUP($B145,Ref_Acuerdos!$A:$E,2,FALSE())="FTA",$A145&gt;=VLOOKUP($B145,Ref_Acuerdos!$A:$E,3,FALSE())),1,0),0)</f>
        <v>0</v>
      </c>
      <c r="I145" s="4" t="n">
        <f aca="false">IFERROR(IF(AND(VLOOKUP($B145,Ref_Acuerdos!$A:$E,2,FALSE())="PTA",$A145&gt;=VLOOKUP($B145,Ref_Acuerdos!$A:$E,3,FALSE())),1,0),0)</f>
        <v>0</v>
      </c>
      <c r="J145" s="7" t="str">
        <f aca="false">IFERROR(IF($A145&gt;=VLOOKUP($B145,Ref_Acuerdos!$A:$E,3,FALSE()),VLOOKUP($B145,Ref_Acuerdos!$A:$E,4,FALSE()),""),"")</f>
        <v/>
      </c>
      <c r="K145" s="4" t="str">
        <f aca="false">IFERROR(IF($A145&gt;=VLOOKUP($B145,Ref_Acuerdos!$A:$E,3,FALSE()),VLOOKUP($B145,Ref_Acuerdos!$A:$E,5,FALSE()),"Sin FTA/PTA vigente ese año - arancel NMF"),"Sin FTA/PTA identificado - arancel NMF")</f>
        <v>Sin FTA/PTA vigente ese año - arancel NMF</v>
      </c>
    </row>
    <row r="146" customFormat="false" ht="15" hidden="false" customHeight="false" outlineLevel="0" collapsed="false">
      <c r="A146" s="2" t="n">
        <v>2011</v>
      </c>
      <c r="B146" s="2" t="s">
        <v>107</v>
      </c>
      <c r="C146" s="4" t="str">
        <f aca="false">IFERROR(VLOOKUP($B146,Ref_Continente!$A:$B,2,FALSE()),"Sin clasificar")</f>
        <v>Europe</v>
      </c>
      <c r="D146" s="5" t="n">
        <v>5503</v>
      </c>
      <c r="E146" s="6" t="n">
        <v>917</v>
      </c>
      <c r="F146" s="6" t="n">
        <v>10000</v>
      </c>
      <c r="G146" s="5" t="n">
        <v>570538581144.45</v>
      </c>
      <c r="H146" s="4" t="n">
        <f aca="false">IFERROR(IF(AND(VLOOKUP($B146,Ref_Acuerdos!$A:$E,2,FALSE())="FTA",$A146&gt;=VLOOKUP($B146,Ref_Acuerdos!$A:$E,3,FALSE())),1,0),0)</f>
        <v>0</v>
      </c>
      <c r="I146" s="4" t="n">
        <f aca="false">IFERROR(IF(AND(VLOOKUP($B146,Ref_Acuerdos!$A:$E,2,FALSE())="PTA",$A146&gt;=VLOOKUP($B146,Ref_Acuerdos!$A:$E,3,FALSE())),1,0),0)</f>
        <v>0</v>
      </c>
      <c r="J146" s="7" t="str">
        <f aca="false">IFERROR(IF($A146&gt;=VLOOKUP($B146,Ref_Acuerdos!$A:$E,3,FALSE()),VLOOKUP($B146,Ref_Acuerdos!$A:$E,4,FALSE()),""),"")</f>
        <v/>
      </c>
      <c r="K146" s="4" t="str">
        <f aca="false">IFERROR(IF($A146&gt;=VLOOKUP($B146,Ref_Acuerdos!$A:$E,3,FALSE()),VLOOKUP($B146,Ref_Acuerdos!$A:$E,5,FALSE()),"Sin FTA/PTA vigente ese año - arancel NMF"),"Sin FTA/PTA identificado - arancel NMF")</f>
        <v>Sin FTA/PTA vigente ese año - arancel NMF</v>
      </c>
    </row>
    <row r="147" customFormat="false" ht="15" hidden="false" customHeight="false" outlineLevel="0" collapsed="false">
      <c r="A147" s="2" t="n">
        <v>2011</v>
      </c>
      <c r="B147" s="2" t="s">
        <v>94</v>
      </c>
      <c r="C147" s="4" t="str">
        <f aca="false">IFERROR(VLOOKUP($B147,Ref_Continente!$A:$B,2,FALSE()),"Sin clasificar")</f>
        <v>Europe</v>
      </c>
      <c r="D147" s="5" t="n">
        <v>5469</v>
      </c>
      <c r="E147" s="6" t="n">
        <v>2791</v>
      </c>
      <c r="F147" s="6" t="n">
        <v>11000</v>
      </c>
      <c r="G147" s="5" t="n">
        <v>8414352020.49</v>
      </c>
      <c r="H147" s="4" t="n">
        <f aca="false">IFERROR(IF(AND(VLOOKUP($B147,Ref_Acuerdos!$A:$E,2,FALSE())="FTA",$A147&gt;=VLOOKUP($B147,Ref_Acuerdos!$A:$E,3,FALSE())),1,0),0)</f>
        <v>0</v>
      </c>
      <c r="I147" s="4" t="n">
        <f aca="false">IFERROR(IF(AND(VLOOKUP($B147,Ref_Acuerdos!$A:$E,2,FALSE())="PTA",$A147&gt;=VLOOKUP($B147,Ref_Acuerdos!$A:$E,3,FALSE())),1,0),0)</f>
        <v>0</v>
      </c>
      <c r="J147" s="7" t="str">
        <f aca="false">IFERROR(IF($A147&gt;=VLOOKUP($B147,Ref_Acuerdos!$A:$E,3,FALSE()),VLOOKUP($B147,Ref_Acuerdos!$A:$E,4,FALSE()),""),"")</f>
        <v/>
      </c>
      <c r="K147" s="4" t="str">
        <f aca="false">IFERROR(IF($A147&gt;=VLOOKUP($B147,Ref_Acuerdos!$A:$E,3,FALSE()),VLOOKUP($B147,Ref_Acuerdos!$A:$E,5,FALSE()),"Sin FTA/PTA vigente ese año - arancel NMF"),"Sin FTA/PTA identificado - arancel NMF")</f>
        <v>Sin FTA/PTA identificado - arancel NMF</v>
      </c>
    </row>
    <row r="148" customFormat="false" ht="15" hidden="false" customHeight="false" outlineLevel="0" collapsed="false">
      <c r="A148" s="2" t="n">
        <v>2011</v>
      </c>
      <c r="B148" s="2" t="s">
        <v>88</v>
      </c>
      <c r="C148" s="4" t="str">
        <f aca="false">IFERROR(VLOOKUP($B148,Ref_Continente!$A:$B,2,FALSE()),"Sin clasificar")</f>
        <v>South America</v>
      </c>
      <c r="D148" s="5" t="n">
        <v>5148</v>
      </c>
      <c r="E148" s="6" t="n">
        <v>2649</v>
      </c>
      <c r="F148" s="6" t="n">
        <v>1320</v>
      </c>
      <c r="G148" s="5" t="n">
        <v>171761737046.59</v>
      </c>
      <c r="H148" s="4" t="n">
        <f aca="false">IFERROR(IF(AND(VLOOKUP($B148,Ref_Acuerdos!$A:$E,2,FALSE())="FTA",$A148&gt;=VLOOKUP($B148,Ref_Acuerdos!$A:$E,3,FALSE())),1,0),0)</f>
        <v>0</v>
      </c>
      <c r="I148" s="4" t="n">
        <f aca="false">IFERROR(IF(AND(VLOOKUP($B148,Ref_Acuerdos!$A:$E,2,FALSE())="PTA",$A148&gt;=VLOOKUP($B148,Ref_Acuerdos!$A:$E,3,FALSE())),1,0),0)</f>
        <v>1</v>
      </c>
      <c r="J148" s="7" t="n">
        <f aca="false">IFERROR(IF($A148&gt;=VLOOKUP($B148,Ref_Acuerdos!$A:$E,3,FALSE()),VLOOKUP($B148,Ref_Acuerdos!$A:$E,4,FALSE()),""),"")</f>
        <v>0</v>
      </c>
      <c r="K148" s="4" t="str">
        <f aca="false">IFERROR(IF($A148&gt;=VLOOKUP($B148,Ref_Acuerdos!$A:$E,3,FALSE()),VLOOKUP($B148,Ref_Acuerdos!$A:$E,5,FALSE()),"Sin FTA/PTA vigente ese año - arancel NMF"),"Sin FTA/PTA identificado - arancel NMF")</f>
        <v>Comunidad Andina (CAN) - libre comercio intracomunitario</v>
      </c>
    </row>
    <row r="149" customFormat="false" ht="15" hidden="false" customHeight="false" outlineLevel="0" collapsed="false">
      <c r="A149" s="2" t="n">
        <v>2011</v>
      </c>
      <c r="B149" s="2" t="s">
        <v>63</v>
      </c>
      <c r="C149" s="4" t="str">
        <f aca="false">IFERROR(VLOOKUP($B149,Ref_Continente!$A:$B,2,FALSE()),"Sin clasificar")</f>
        <v>Asia</v>
      </c>
      <c r="D149" s="5" t="n">
        <v>4619</v>
      </c>
      <c r="E149" s="6" t="n">
        <v>970</v>
      </c>
      <c r="F149" s="6" t="n">
        <v>13600</v>
      </c>
      <c r="G149" s="5" t="n">
        <v>192626464617.07</v>
      </c>
      <c r="H149" s="4" t="n">
        <f aca="false">IFERROR(IF(AND(VLOOKUP($B149,Ref_Acuerdos!$A:$E,2,FALSE())="FTA",$A149&gt;=VLOOKUP($B149,Ref_Acuerdos!$A:$E,3,FALSE())),1,0),0)</f>
        <v>0</v>
      </c>
      <c r="I149" s="4" t="n">
        <f aca="false">IFERROR(IF(AND(VLOOKUP($B149,Ref_Acuerdos!$A:$E,2,FALSE())="PTA",$A149&gt;=VLOOKUP($B149,Ref_Acuerdos!$A:$E,3,FALSE())),1,0),0)</f>
        <v>0</v>
      </c>
      <c r="J149" s="7" t="str">
        <f aca="false">IFERROR(IF($A149&gt;=VLOOKUP($B149,Ref_Acuerdos!$A:$E,3,FALSE()),VLOOKUP($B149,Ref_Acuerdos!$A:$E,4,FALSE()),""),"")</f>
        <v/>
      </c>
      <c r="K149" s="4" t="str">
        <f aca="false">IFERROR(IF($A149&gt;=VLOOKUP($B149,Ref_Acuerdos!$A:$E,3,FALSE()),VLOOKUP($B149,Ref_Acuerdos!$A:$E,5,FALSE()),"Sin FTA/PTA vigente ese año - arancel NMF"),"Sin FTA/PTA identificado - arancel NMF")</f>
        <v>Sin FTA/PTA identificado - arancel NMF</v>
      </c>
    </row>
    <row r="150" customFormat="false" ht="15" hidden="false" customHeight="false" outlineLevel="0" collapsed="false">
      <c r="A150" s="2" t="n">
        <v>2011</v>
      </c>
      <c r="B150" s="2" t="s">
        <v>23</v>
      </c>
      <c r="C150" s="4" t="str">
        <f aca="false">IFERROR(VLOOKUP($B150,Ref_Continente!$A:$B,2,FALSE()),"Sin clasificar")</f>
        <v>South America</v>
      </c>
      <c r="D150" s="5" t="n">
        <v>3867</v>
      </c>
      <c r="E150" s="6" t="n">
        <v>1483</v>
      </c>
      <c r="F150" s="6" t="n">
        <v>4330</v>
      </c>
      <c r="G150" s="5" t="n">
        <v>2616156606579.21</v>
      </c>
      <c r="H150" s="4" t="n">
        <f aca="false">IFERROR(IF(AND(VLOOKUP($B150,Ref_Acuerdos!$A:$E,2,FALSE())="FTA",$A150&gt;=VLOOKUP($B150,Ref_Acuerdos!$A:$E,3,FALSE())),1,0),0)</f>
        <v>0</v>
      </c>
      <c r="I150" s="4" t="n">
        <f aca="false">IFERROR(IF(AND(VLOOKUP($B150,Ref_Acuerdos!$A:$E,2,FALSE())="PTA",$A150&gt;=VLOOKUP($B150,Ref_Acuerdos!$A:$E,3,FALSE())),1,0),0)</f>
        <v>1</v>
      </c>
      <c r="J150" s="7" t="n">
        <f aca="false">IFERROR(IF($A150&gt;=VLOOKUP($B150,Ref_Acuerdos!$A:$E,3,FALSE()),VLOOKUP($B150,Ref_Acuerdos!$A:$E,4,FALSE()),""),"")</f>
        <v>5</v>
      </c>
      <c r="K150" s="4" t="str">
        <f aca="false">IFERROR(IF($A150&gt;=VLOOKUP($B150,Ref_Acuerdos!$A:$E,3,FALSE()),VLOOKUP($B150,Ref_Acuerdos!$A:$E,5,FALSE()),"Sin FTA/PTA vigente ese año - arancel NMF"),"Sin FTA/PTA identificado - arancel NMF")</f>
        <v>Ecuador-Mercosur ACE 59 - preferencias parciales (tarifa referencial)</v>
      </c>
    </row>
    <row r="151" customFormat="false" ht="15" hidden="false" customHeight="false" outlineLevel="0" collapsed="false">
      <c r="A151" s="2" t="n">
        <v>2011</v>
      </c>
      <c r="B151" s="2" t="s">
        <v>37</v>
      </c>
      <c r="C151" s="4" t="str">
        <f aca="false">IFERROR(VLOOKUP($B151,Ref_Continente!$A:$B,2,FALSE()),"Sin clasificar")</f>
        <v>North America</v>
      </c>
      <c r="D151" s="5" t="n">
        <v>3734</v>
      </c>
      <c r="E151" s="6" t="n">
        <v>671</v>
      </c>
      <c r="F151" s="6" t="n">
        <v>2200</v>
      </c>
      <c r="G151" s="5" t="n">
        <v>57948261615.96</v>
      </c>
      <c r="H151" s="4" t="n">
        <f aca="false">IFERROR(IF(AND(VLOOKUP($B151,Ref_Acuerdos!$A:$E,2,FALSE())="FTA",$A151&gt;=VLOOKUP($B151,Ref_Acuerdos!$A:$E,3,FALSE())),1,0),0)</f>
        <v>0</v>
      </c>
      <c r="I151" s="4" t="n">
        <f aca="false">IFERROR(IF(AND(VLOOKUP($B151,Ref_Acuerdos!$A:$E,2,FALSE())="PTA",$A151&gt;=VLOOKUP($B151,Ref_Acuerdos!$A:$E,3,FALSE())),1,0),0)</f>
        <v>0</v>
      </c>
      <c r="J151" s="7" t="str">
        <f aca="false">IFERROR(IF($A151&gt;=VLOOKUP($B151,Ref_Acuerdos!$A:$E,3,FALSE()),VLOOKUP($B151,Ref_Acuerdos!$A:$E,4,FALSE()),""),"")</f>
        <v/>
      </c>
      <c r="K151" s="4" t="str">
        <f aca="false">IFERROR(IF($A151&gt;=VLOOKUP($B151,Ref_Acuerdos!$A:$E,3,FALSE()),VLOOKUP($B151,Ref_Acuerdos!$A:$E,5,FALSE()),"Sin FTA/PTA vigente ese año - arancel NMF"),"Sin FTA/PTA identificado - arancel NMF")</f>
        <v>Sin FTA/PTA identificado - arancel NMF</v>
      </c>
    </row>
    <row r="152" customFormat="false" ht="15" hidden="false" customHeight="false" outlineLevel="0" collapsed="false">
      <c r="A152" s="2" t="n">
        <v>2011</v>
      </c>
      <c r="B152" s="2" t="s">
        <v>31</v>
      </c>
      <c r="C152" s="4" t="str">
        <f aca="false">IFERROR(VLOOKUP($B152,Ref_Continente!$A:$B,2,FALSE()),"Sin clasificar")</f>
        <v>Europe</v>
      </c>
      <c r="D152" s="5" t="n">
        <v>3163</v>
      </c>
      <c r="E152" s="6" t="n">
        <v>2252</v>
      </c>
      <c r="F152" s="6" t="n">
        <v>10400</v>
      </c>
      <c r="G152" s="5" t="n">
        <v>62889007657.39</v>
      </c>
      <c r="H152" s="4" t="n">
        <f aca="false">IFERROR(IF(AND(VLOOKUP($B152,Ref_Acuerdos!$A:$E,2,FALSE())="FTA",$A152&gt;=VLOOKUP($B152,Ref_Acuerdos!$A:$E,3,FALSE())),1,0),0)</f>
        <v>0</v>
      </c>
      <c r="I152" s="4" t="n">
        <f aca="false">IFERROR(IF(AND(VLOOKUP($B152,Ref_Acuerdos!$A:$E,2,FALSE())="PTA",$A152&gt;=VLOOKUP($B152,Ref_Acuerdos!$A:$E,3,FALSE())),1,0),0)</f>
        <v>0</v>
      </c>
      <c r="J152" s="7" t="str">
        <f aca="false">IFERROR(IF($A152&gt;=VLOOKUP($B152,Ref_Acuerdos!$A:$E,3,FALSE()),VLOOKUP($B152,Ref_Acuerdos!$A:$E,4,FALSE()),""),"")</f>
        <v/>
      </c>
      <c r="K152" s="4" t="str">
        <f aca="false">IFERROR(IF($A152&gt;=VLOOKUP($B152,Ref_Acuerdos!$A:$E,3,FALSE()),VLOOKUP($B152,Ref_Acuerdos!$A:$E,5,FALSE()),"Sin FTA/PTA vigente ese año - arancel NMF"),"Sin FTA/PTA identificado - arancel NMF")</f>
        <v>Sin FTA/PTA vigente ese año - arancel NMF</v>
      </c>
    </row>
    <row r="153" customFormat="false" ht="15" hidden="false" customHeight="false" outlineLevel="0" collapsed="false">
      <c r="A153" s="2" t="n">
        <v>2011</v>
      </c>
      <c r="B153" s="2" t="s">
        <v>111</v>
      </c>
      <c r="C153" s="4" t="str">
        <f aca="false">IFERROR(VLOOKUP($B153,Ref_Continente!$A:$B,2,FALSE()),"Sin clasificar")</f>
        <v>North America</v>
      </c>
      <c r="D153" s="5" t="n">
        <v>1900</v>
      </c>
      <c r="E153" s="6" t="n">
        <v>323</v>
      </c>
      <c r="F153" s="6" t="n">
        <v>2530</v>
      </c>
      <c r="G153" s="5" t="n">
        <v>25433007437.16</v>
      </c>
      <c r="H153" s="4" t="n">
        <f aca="false">IFERROR(IF(AND(VLOOKUP($B153,Ref_Acuerdos!$A:$E,2,FALSE())="FTA",$A153&gt;=VLOOKUP($B153,Ref_Acuerdos!$A:$E,3,FALSE())),1,0),0)</f>
        <v>0</v>
      </c>
      <c r="I153" s="4" t="n">
        <f aca="false">IFERROR(IF(AND(VLOOKUP($B153,Ref_Acuerdos!$A:$E,2,FALSE())="PTA",$A153&gt;=VLOOKUP($B153,Ref_Acuerdos!$A:$E,3,FALSE())),1,0),0)</f>
        <v>0</v>
      </c>
      <c r="J153" s="7" t="str">
        <f aca="false">IFERROR(IF($A153&gt;=VLOOKUP($B153,Ref_Acuerdos!$A:$E,3,FALSE()),VLOOKUP($B153,Ref_Acuerdos!$A:$E,4,FALSE()),""),"")</f>
        <v/>
      </c>
      <c r="K153" s="4" t="str">
        <f aca="false">IFERROR(IF($A153&gt;=VLOOKUP($B153,Ref_Acuerdos!$A:$E,3,FALSE()),VLOOKUP($B153,Ref_Acuerdos!$A:$E,5,FALSE()),"Sin FTA/PTA vigente ese año - arancel NMF"),"Sin FTA/PTA identificado - arancel NMF")</f>
        <v>Sin FTA/PTA identificado - arancel NMF</v>
      </c>
    </row>
    <row r="154" customFormat="false" ht="15" hidden="false" customHeight="false" outlineLevel="0" collapsed="false">
      <c r="A154" s="2" t="n">
        <v>2011</v>
      </c>
      <c r="B154" s="2" t="s">
        <v>34</v>
      </c>
      <c r="C154" s="4" t="str">
        <f aca="false">IFERROR(VLOOKUP($B154,Ref_Continente!$A:$B,2,FALSE()),"Sin clasificar")</f>
        <v>Europe</v>
      </c>
      <c r="D154" s="5" t="n">
        <v>1879</v>
      </c>
      <c r="E154" s="6" t="n">
        <v>544</v>
      </c>
      <c r="F154" s="6" t="n">
        <v>11900</v>
      </c>
      <c r="G154" s="5" t="n">
        <v>27641549301.66</v>
      </c>
      <c r="H154" s="4" t="n">
        <f aca="false">IFERROR(IF(AND(VLOOKUP($B154,Ref_Acuerdos!$A:$E,2,FALSE())="FTA",$A154&gt;=VLOOKUP($B154,Ref_Acuerdos!$A:$E,3,FALSE())),1,0),0)</f>
        <v>0</v>
      </c>
      <c r="I154" s="4" t="n">
        <f aca="false">IFERROR(IF(AND(VLOOKUP($B154,Ref_Acuerdos!$A:$E,2,FALSE())="PTA",$A154&gt;=VLOOKUP($B154,Ref_Acuerdos!$A:$E,3,FALSE())),1,0),0)</f>
        <v>0</v>
      </c>
      <c r="J154" s="7" t="str">
        <f aca="false">IFERROR(IF($A154&gt;=VLOOKUP($B154,Ref_Acuerdos!$A:$E,3,FALSE()),VLOOKUP($B154,Ref_Acuerdos!$A:$E,4,FALSE()),""),"")</f>
        <v/>
      </c>
      <c r="K154" s="4" t="str">
        <f aca="false">IFERROR(IF($A154&gt;=VLOOKUP($B154,Ref_Acuerdos!$A:$E,3,FALSE()),VLOOKUP($B154,Ref_Acuerdos!$A:$E,5,FALSE()),"Sin FTA/PTA vigente ese año - arancel NMF"),"Sin FTA/PTA identificado - arancel NMF")</f>
        <v>Sin FTA/PTA vigente ese año - arancel NMF</v>
      </c>
    </row>
    <row r="155" customFormat="false" ht="15" hidden="false" customHeight="false" outlineLevel="0" collapsed="false">
      <c r="A155" s="2" t="n">
        <v>2011</v>
      </c>
      <c r="B155" s="2" t="s">
        <v>71</v>
      </c>
      <c r="C155" s="4" t="str">
        <f aca="false">IFERROR(VLOOKUP($B155,Ref_Continente!$A:$B,2,FALSE()),"Sin clasificar")</f>
        <v>Asia</v>
      </c>
      <c r="D155" s="5" t="n">
        <v>1848</v>
      </c>
      <c r="E155" s="6" t="n">
        <v>328</v>
      </c>
      <c r="F155" s="6" t="n">
        <v>17100</v>
      </c>
      <c r="G155" s="5" t="n">
        <v>2774350240.05</v>
      </c>
      <c r="H155" s="4" t="n">
        <f aca="false">IFERROR(IF(AND(VLOOKUP($B155,Ref_Acuerdos!$A:$E,2,FALSE())="FTA",$A155&gt;=VLOOKUP($B155,Ref_Acuerdos!$A:$E,3,FALSE())),1,0),0)</f>
        <v>0</v>
      </c>
      <c r="I155" s="4" t="n">
        <f aca="false">IFERROR(IF(AND(VLOOKUP($B155,Ref_Acuerdos!$A:$E,2,FALSE())="PTA",$A155&gt;=VLOOKUP($B155,Ref_Acuerdos!$A:$E,3,FALSE())),1,0),0)</f>
        <v>0</v>
      </c>
      <c r="J155" s="7" t="str">
        <f aca="false">IFERROR(IF($A155&gt;=VLOOKUP($B155,Ref_Acuerdos!$A:$E,3,FALSE()),VLOOKUP($B155,Ref_Acuerdos!$A:$E,4,FALSE()),""),"")</f>
        <v/>
      </c>
      <c r="K155" s="4" t="str">
        <f aca="false">IFERROR(IF($A155&gt;=VLOOKUP($B155,Ref_Acuerdos!$A:$E,3,FALSE()),VLOOKUP($B155,Ref_Acuerdos!$A:$E,5,FALSE()),"Sin FTA/PTA vigente ese año - arancel NMF"),"Sin FTA/PTA identificado - arancel NMF")</f>
        <v>Sin FTA/PTA identificado - arancel NMF</v>
      </c>
    </row>
    <row r="156" customFormat="false" ht="15" hidden="false" customHeight="false" outlineLevel="0" collapsed="false">
      <c r="A156" s="2" t="n">
        <v>2011</v>
      </c>
      <c r="B156" s="2" t="s">
        <v>30</v>
      </c>
      <c r="C156" s="4" t="str">
        <f aca="false">IFERROR(VLOOKUP($B156,Ref_Continente!$A:$B,2,FALSE()),"Sin clasificar")</f>
        <v>North America</v>
      </c>
      <c r="D156" s="5" t="n">
        <v>1695</v>
      </c>
      <c r="E156" s="6" t="n">
        <v>421</v>
      </c>
      <c r="F156" s="6" t="n">
        <v>1300</v>
      </c>
      <c r="G156" s="5" t="n">
        <v>42762613698.96</v>
      </c>
      <c r="H156" s="4" t="n">
        <f aca="false">IFERROR(IF(AND(VLOOKUP($B156,Ref_Acuerdos!$A:$E,2,FALSE())="FTA",$A156&gt;=VLOOKUP($B156,Ref_Acuerdos!$A:$E,3,FALSE())),1,0),0)</f>
        <v>0</v>
      </c>
      <c r="I156" s="4" t="n">
        <f aca="false">IFERROR(IF(AND(VLOOKUP($B156,Ref_Acuerdos!$A:$E,2,FALSE())="PTA",$A156&gt;=VLOOKUP($B156,Ref_Acuerdos!$A:$E,3,FALSE())),1,0),0)</f>
        <v>0</v>
      </c>
      <c r="J156" s="7" t="str">
        <f aca="false">IFERROR(IF($A156&gt;=VLOOKUP($B156,Ref_Acuerdos!$A:$E,3,FALSE()),VLOOKUP($B156,Ref_Acuerdos!$A:$E,4,FALSE()),""),"")</f>
        <v/>
      </c>
      <c r="K156" s="4" t="str">
        <f aca="false">IFERROR(IF($A156&gt;=VLOOKUP($B156,Ref_Acuerdos!$A:$E,3,FALSE()),VLOOKUP($B156,Ref_Acuerdos!$A:$E,5,FALSE()),"Sin FTA/PTA vigente ese año - arancel NMF"),"Sin FTA/PTA identificado - arancel NMF")</f>
        <v>Sin FTA/PTA vigente ese año - arancel NMF</v>
      </c>
    </row>
    <row r="157" customFormat="false" ht="15" hidden="false" customHeight="false" outlineLevel="0" collapsed="false">
      <c r="A157" s="2" t="n">
        <v>2011</v>
      </c>
      <c r="B157" s="2" t="s">
        <v>95</v>
      </c>
      <c r="C157" s="4" t="str">
        <f aca="false">IFERROR(VLOOKUP($B157,Ref_Continente!$A:$B,2,FALSE()),"Sin clasificar")</f>
        <v>Europe</v>
      </c>
      <c r="D157" s="5" t="n">
        <v>1625</v>
      </c>
      <c r="E157" s="6" t="n">
        <v>410</v>
      </c>
      <c r="F157" s="6" t="n">
        <v>11300</v>
      </c>
      <c r="G157" s="5" t="n">
        <v>192623977894.17</v>
      </c>
      <c r="H157" s="4" t="n">
        <f aca="false">IFERROR(IF(AND(VLOOKUP($B157,Ref_Acuerdos!$A:$E,2,FALSE())="FTA",$A157&gt;=VLOOKUP($B157,Ref_Acuerdos!$A:$E,3,FALSE())),1,0),0)</f>
        <v>0</v>
      </c>
      <c r="I157" s="4" t="n">
        <f aca="false">IFERROR(IF(AND(VLOOKUP($B157,Ref_Acuerdos!$A:$E,2,FALSE())="PTA",$A157&gt;=VLOOKUP($B157,Ref_Acuerdos!$A:$E,3,FALSE())),1,0),0)</f>
        <v>0</v>
      </c>
      <c r="J157" s="7" t="str">
        <f aca="false">IFERROR(IF($A157&gt;=VLOOKUP($B157,Ref_Acuerdos!$A:$E,3,FALSE()),VLOOKUP($B157,Ref_Acuerdos!$A:$E,4,FALSE()),""),"")</f>
        <v/>
      </c>
      <c r="K157" s="4" t="str">
        <f aca="false">IFERROR(IF($A157&gt;=VLOOKUP($B157,Ref_Acuerdos!$A:$E,3,FALSE()),VLOOKUP($B157,Ref_Acuerdos!$A:$E,5,FALSE()),"Sin FTA/PTA vigente ese año - arancel NMF"),"Sin FTA/PTA identificado - arancel NMF")</f>
        <v>Sin FTA/PTA vigente ese año - arancel NMF</v>
      </c>
    </row>
    <row r="158" customFormat="false" ht="15" hidden="false" customHeight="false" outlineLevel="0" collapsed="false">
      <c r="A158" s="2" t="n">
        <v>2011</v>
      </c>
      <c r="B158" s="2" t="s">
        <v>39</v>
      </c>
      <c r="C158" s="4" t="str">
        <f aca="false">IFERROR(VLOOKUP($B158,Ref_Continente!$A:$B,2,FALSE()),"Sin clasificar")</f>
        <v>North America</v>
      </c>
      <c r="D158" s="5" t="n">
        <v>1314</v>
      </c>
      <c r="E158" s="6" t="n">
        <v>124</v>
      </c>
      <c r="F158" s="6" t="n">
        <v>2000</v>
      </c>
      <c r="G158" s="5" t="n">
        <v>20283780000</v>
      </c>
      <c r="H158" s="4" t="n">
        <f aca="false">IFERROR(IF(AND(VLOOKUP($B158,Ref_Acuerdos!$A:$E,2,FALSE())="FTA",$A158&gt;=VLOOKUP($B158,Ref_Acuerdos!$A:$E,3,FALSE())),1,0),0)</f>
        <v>0</v>
      </c>
      <c r="I158" s="4" t="n">
        <f aca="false">IFERROR(IF(AND(VLOOKUP($B158,Ref_Acuerdos!$A:$E,2,FALSE())="PTA",$A158&gt;=VLOOKUP($B158,Ref_Acuerdos!$A:$E,3,FALSE())),1,0),0)</f>
        <v>0</v>
      </c>
      <c r="J158" s="7" t="str">
        <f aca="false">IFERROR(IF($A158&gt;=VLOOKUP($B158,Ref_Acuerdos!$A:$E,3,FALSE()),VLOOKUP($B158,Ref_Acuerdos!$A:$E,4,FALSE()),""),"")</f>
        <v/>
      </c>
      <c r="K158" s="4" t="str">
        <f aca="false">IFERROR(IF($A158&gt;=VLOOKUP($B158,Ref_Acuerdos!$A:$E,3,FALSE()),VLOOKUP($B158,Ref_Acuerdos!$A:$E,5,FALSE()),"Sin FTA/PTA vigente ese año - arancel NMF"),"Sin FTA/PTA identificado - arancel NMF")</f>
        <v>Sin FTA/PTA identificado - arancel NMF</v>
      </c>
    </row>
    <row r="159" customFormat="false" ht="15" hidden="false" customHeight="false" outlineLevel="0" collapsed="false">
      <c r="A159" s="2" t="n">
        <v>2011</v>
      </c>
      <c r="B159" s="2" t="s">
        <v>91</v>
      </c>
      <c r="C159" s="4" t="str">
        <f aca="false">IFERROR(VLOOKUP($B159,Ref_Continente!$A:$B,2,FALSE()),"Sin clasificar")</f>
        <v>Europe</v>
      </c>
      <c r="D159" s="5" t="n">
        <v>1121</v>
      </c>
      <c r="E159" s="6" t="n">
        <v>58</v>
      </c>
      <c r="F159" s="6" t="n">
        <v>8700</v>
      </c>
      <c r="G159" s="5" t="n">
        <v>245426767676</v>
      </c>
      <c r="H159" s="4" t="n">
        <f aca="false">IFERROR(IF(AND(VLOOKUP($B159,Ref_Acuerdos!$A:$E,2,FALSE())="FTA",$A159&gt;=VLOOKUP($B159,Ref_Acuerdos!$A:$E,3,FALSE())),1,0),0)</f>
        <v>0</v>
      </c>
      <c r="I159" s="4" t="n">
        <f aca="false">IFERROR(IF(AND(VLOOKUP($B159,Ref_Acuerdos!$A:$E,2,FALSE())="PTA",$A159&gt;=VLOOKUP($B159,Ref_Acuerdos!$A:$E,3,FALSE())),1,0),0)</f>
        <v>0</v>
      </c>
      <c r="J159" s="7" t="str">
        <f aca="false">IFERROR(IF($A159&gt;=VLOOKUP($B159,Ref_Acuerdos!$A:$E,3,FALSE()),VLOOKUP($B159,Ref_Acuerdos!$A:$E,4,FALSE()),""),"")</f>
        <v/>
      </c>
      <c r="K159" s="4" t="str">
        <f aca="false">IFERROR(IF($A159&gt;=VLOOKUP($B159,Ref_Acuerdos!$A:$E,3,FALSE()),VLOOKUP($B159,Ref_Acuerdos!$A:$E,5,FALSE()),"Sin FTA/PTA vigente ese año - arancel NMF"),"Sin FTA/PTA identificado - arancel NMF")</f>
        <v>Sin FTA/PTA vigente ese año - arancel NMF</v>
      </c>
    </row>
    <row r="160" customFormat="false" ht="15" hidden="false" customHeight="false" outlineLevel="0" collapsed="false">
      <c r="A160" s="2" t="n">
        <v>2011</v>
      </c>
      <c r="B160" s="2" t="s">
        <v>68</v>
      </c>
      <c r="C160" s="4" t="str">
        <f aca="false">IFERROR(VLOOKUP($B160,Ref_Continente!$A:$B,2,FALSE()),"Sin clasificar")</f>
        <v>Europe</v>
      </c>
      <c r="D160" s="5" t="n">
        <v>994</v>
      </c>
      <c r="E160" s="6" t="n">
        <v>247</v>
      </c>
      <c r="F160" s="6" t="n">
        <v>10250</v>
      </c>
      <c r="G160" s="5" t="n">
        <v>43186501862.79</v>
      </c>
      <c r="H160" s="4" t="n">
        <f aca="false">IFERROR(IF(AND(VLOOKUP($B160,Ref_Acuerdos!$A:$E,2,FALSE())="FTA",$A160&gt;=VLOOKUP($B160,Ref_Acuerdos!$A:$E,3,FALSE())),1,0),0)</f>
        <v>0</v>
      </c>
      <c r="I160" s="4" t="n">
        <f aca="false">IFERROR(IF(AND(VLOOKUP($B160,Ref_Acuerdos!$A:$E,2,FALSE())="PTA",$A160&gt;=VLOOKUP($B160,Ref_Acuerdos!$A:$E,3,FALSE())),1,0),0)</f>
        <v>0</v>
      </c>
      <c r="J160" s="7" t="str">
        <f aca="false">IFERROR(IF($A160&gt;=VLOOKUP($B160,Ref_Acuerdos!$A:$E,3,FALSE()),VLOOKUP($B160,Ref_Acuerdos!$A:$E,4,FALSE()),""),"")</f>
        <v/>
      </c>
      <c r="K160" s="4" t="str">
        <f aca="false">IFERROR(IF($A160&gt;=VLOOKUP($B160,Ref_Acuerdos!$A:$E,3,FALSE()),VLOOKUP($B160,Ref_Acuerdos!$A:$E,5,FALSE()),"Sin FTA/PTA vigente ese año - arancel NMF"),"Sin FTA/PTA identificado - arancel NMF")</f>
        <v>Sin FTA/PTA vigente ese año - arancel NMF</v>
      </c>
    </row>
    <row r="161" customFormat="false" ht="15" hidden="false" customHeight="false" outlineLevel="0" collapsed="false">
      <c r="A161" s="2" t="n">
        <v>2011</v>
      </c>
      <c r="B161" s="2" t="s">
        <v>85</v>
      </c>
      <c r="C161" s="4" t="str">
        <f aca="false">IFERROR(VLOOKUP($B161,Ref_Continente!$A:$B,2,FALSE()),"Sin clasificar")</f>
        <v>Asia</v>
      </c>
      <c r="D161" s="5" t="n">
        <v>910</v>
      </c>
      <c r="E161" s="6" t="n">
        <v>140</v>
      </c>
      <c r="F161" s="6" t="n">
        <v>0</v>
      </c>
      <c r="G161" s="5"/>
      <c r="H161" s="4" t="n">
        <f aca="false">IFERROR(IF(AND(VLOOKUP($B161,Ref_Acuerdos!$A:$E,2,FALSE())="FTA",$A161&gt;=VLOOKUP($B161,Ref_Acuerdos!$A:$E,3,FALSE())),1,0),0)</f>
        <v>0</v>
      </c>
      <c r="I161" s="4" t="n">
        <f aca="false">IFERROR(IF(AND(VLOOKUP($B161,Ref_Acuerdos!$A:$E,2,FALSE())="PTA",$A161&gt;=VLOOKUP($B161,Ref_Acuerdos!$A:$E,3,FALSE())),1,0),0)</f>
        <v>0</v>
      </c>
      <c r="J161" s="7" t="str">
        <f aca="false">IFERROR(IF($A161&gt;=VLOOKUP($B161,Ref_Acuerdos!$A:$E,3,FALSE()),VLOOKUP($B161,Ref_Acuerdos!$A:$E,4,FALSE()),""),"")</f>
        <v/>
      </c>
      <c r="K161" s="4" t="str">
        <f aca="false">IFERROR(IF($A161&gt;=VLOOKUP($B161,Ref_Acuerdos!$A:$E,3,FALSE()),VLOOKUP($B161,Ref_Acuerdos!$A:$E,5,FALSE()),"Sin FTA/PTA vigente ese año - arancel NMF"),"Sin FTA/PTA identificado - arancel NMF")</f>
        <v>Sin FTA/PTA identificado - arancel NMF</v>
      </c>
    </row>
    <row r="162" customFormat="false" ht="15" hidden="false" customHeight="false" outlineLevel="0" collapsed="false">
      <c r="A162" s="2" t="n">
        <v>2011</v>
      </c>
      <c r="B162" s="2" t="s">
        <v>44</v>
      </c>
      <c r="C162" s="4" t="str">
        <f aca="false">IFERROR(VLOOKUP($B162,Ref_Continente!$A:$B,2,FALSE()),"Sin clasificar")</f>
        <v>Asia</v>
      </c>
      <c r="D162" s="5" t="n">
        <v>840</v>
      </c>
      <c r="E162" s="6" t="n">
        <v>73</v>
      </c>
      <c r="F162" s="6" t="n">
        <v>11600</v>
      </c>
      <c r="G162" s="5" t="n">
        <v>15475290469.29</v>
      </c>
      <c r="H162" s="4" t="n">
        <f aca="false">IFERROR(IF(AND(VLOOKUP($B162,Ref_Acuerdos!$A:$E,2,FALSE())="FTA",$A162&gt;=VLOOKUP($B162,Ref_Acuerdos!$A:$E,3,FALSE())),1,0),0)</f>
        <v>0</v>
      </c>
      <c r="I162" s="4" t="n">
        <f aca="false">IFERROR(IF(AND(VLOOKUP($B162,Ref_Acuerdos!$A:$E,2,FALSE())="PTA",$A162&gt;=VLOOKUP($B162,Ref_Acuerdos!$A:$E,3,FALSE())),1,0),0)</f>
        <v>0</v>
      </c>
      <c r="J162" s="7" t="str">
        <f aca="false">IFERROR(IF($A162&gt;=VLOOKUP($B162,Ref_Acuerdos!$A:$E,3,FALSE()),VLOOKUP($B162,Ref_Acuerdos!$A:$E,4,FALSE()),""),"")</f>
        <v/>
      </c>
      <c r="K162" s="4" t="str">
        <f aca="false">IFERROR(IF($A162&gt;=VLOOKUP($B162,Ref_Acuerdos!$A:$E,3,FALSE()),VLOOKUP($B162,Ref_Acuerdos!$A:$E,5,FALSE()),"Sin FTA/PTA vigente ese año - arancel NMF"),"Sin FTA/PTA identificado - arancel NMF")</f>
        <v>Sin FTA/PTA identificado - arancel NMF</v>
      </c>
    </row>
    <row r="163" customFormat="false" ht="15" hidden="false" customHeight="false" outlineLevel="0" collapsed="false">
      <c r="A163" s="2" t="n">
        <v>2011</v>
      </c>
      <c r="B163" s="2" t="s">
        <v>52</v>
      </c>
      <c r="C163" s="4" t="str">
        <f aca="false">IFERROR(VLOOKUP($B163,Ref_Continente!$A:$B,2,FALSE()),"Sin clasificar")</f>
        <v>Europe</v>
      </c>
      <c r="D163" s="5" t="n">
        <v>337</v>
      </c>
      <c r="E163" s="6" t="n">
        <v>71</v>
      </c>
      <c r="F163" s="6" t="n">
        <v>10350</v>
      </c>
      <c r="G163" s="5" t="n">
        <v>141712804953.87</v>
      </c>
      <c r="H163" s="4" t="n">
        <f aca="false">IFERROR(IF(AND(VLOOKUP($B163,Ref_Acuerdos!$A:$E,2,FALSE())="FTA",$A163&gt;=VLOOKUP($B163,Ref_Acuerdos!$A:$E,3,FALSE())),1,0),0)</f>
        <v>0</v>
      </c>
      <c r="I163" s="4" t="n">
        <f aca="false">IFERROR(IF(AND(VLOOKUP($B163,Ref_Acuerdos!$A:$E,2,FALSE())="PTA",$A163&gt;=VLOOKUP($B163,Ref_Acuerdos!$A:$E,3,FALSE())),1,0),0)</f>
        <v>0</v>
      </c>
      <c r="J163" s="7" t="str">
        <f aca="false">IFERROR(IF($A163&gt;=VLOOKUP($B163,Ref_Acuerdos!$A:$E,3,FALSE()),VLOOKUP($B163,Ref_Acuerdos!$A:$E,4,FALSE()),""),"")</f>
        <v/>
      </c>
      <c r="K163" s="4" t="str">
        <f aca="false">IFERROR(IF($A163&gt;=VLOOKUP($B163,Ref_Acuerdos!$A:$E,3,FALSE()),VLOOKUP($B163,Ref_Acuerdos!$A:$E,5,FALSE()),"Sin FTA/PTA vigente ese año - arancel NMF"),"Sin FTA/PTA identificado - arancel NMF")</f>
        <v>Sin FTA/PTA vigente ese año - arancel NMF</v>
      </c>
    </row>
    <row r="164" customFormat="false" ht="15" hidden="false" customHeight="false" outlineLevel="0" collapsed="false">
      <c r="A164" s="2" t="n">
        <v>2011</v>
      </c>
      <c r="B164" s="2" t="s">
        <v>108</v>
      </c>
      <c r="C164" s="4" t="str">
        <f aca="false">IFERROR(VLOOKUP($B164,Ref_Continente!$A:$B,2,FALSE()),"Sin clasificar")</f>
        <v>Europe</v>
      </c>
      <c r="D164" s="5" t="n">
        <v>318</v>
      </c>
      <c r="E164" s="6" t="n">
        <v>72</v>
      </c>
      <c r="F164" s="6" t="n">
        <v>9800</v>
      </c>
      <c r="G164" s="5" t="n">
        <v>715888126682.4</v>
      </c>
      <c r="H164" s="4" t="n">
        <f aca="false">IFERROR(IF(AND(VLOOKUP($B164,Ref_Acuerdos!$A:$E,2,FALSE())="FTA",$A164&gt;=VLOOKUP($B164,Ref_Acuerdos!$A:$E,3,FALSE())),1,0),0)</f>
        <v>0</v>
      </c>
      <c r="I164" s="4" t="n">
        <f aca="false">IFERROR(IF(AND(VLOOKUP($B164,Ref_Acuerdos!$A:$E,2,FALSE())="PTA",$A164&gt;=VLOOKUP($B164,Ref_Acuerdos!$A:$E,3,FALSE())),1,0),0)</f>
        <v>0</v>
      </c>
      <c r="J164" s="7" t="str">
        <f aca="false">IFERROR(IF($A164&gt;=VLOOKUP($B164,Ref_Acuerdos!$A:$E,3,FALSE()),VLOOKUP($B164,Ref_Acuerdos!$A:$E,4,FALSE()),""),"")</f>
        <v/>
      </c>
      <c r="K164" s="4" t="str">
        <f aca="false">IFERROR(IF($A164&gt;=VLOOKUP($B164,Ref_Acuerdos!$A:$E,3,FALSE()),VLOOKUP($B164,Ref_Acuerdos!$A:$E,5,FALSE()),"Sin FTA/PTA vigente ese año - arancel NMF"),"Sin FTA/PTA identificado - arancel NMF")</f>
        <v>Sin FTA/PTA vigente ese año - arancel NMF</v>
      </c>
    </row>
    <row r="165" customFormat="false" ht="15" hidden="false" customHeight="false" outlineLevel="0" collapsed="false">
      <c r="A165" s="2" t="n">
        <v>2011</v>
      </c>
      <c r="B165" s="2" t="s">
        <v>28</v>
      </c>
      <c r="C165" s="4" t="str">
        <f aca="false">IFERROR(VLOOKUP($B165,Ref_Continente!$A:$B,2,FALSE()),"Sin clasificar")</f>
        <v>Asia</v>
      </c>
      <c r="D165" s="5" t="n">
        <v>280</v>
      </c>
      <c r="E165" s="6" t="n">
        <v>51</v>
      </c>
      <c r="F165" s="6" t="n">
        <v>17700</v>
      </c>
      <c r="G165" s="5" t="n">
        <v>248513617677.29</v>
      </c>
      <c r="H165" s="4" t="n">
        <f aca="false">IFERROR(IF(AND(VLOOKUP($B165,Ref_Acuerdos!$A:$E,2,FALSE())="FTA",$A165&gt;=VLOOKUP($B165,Ref_Acuerdos!$A:$E,3,FALSE())),1,0),0)</f>
        <v>0</v>
      </c>
      <c r="I165" s="4" t="n">
        <f aca="false">IFERROR(IF(AND(VLOOKUP($B165,Ref_Acuerdos!$A:$E,2,FALSE())="PTA",$A165&gt;=VLOOKUP($B165,Ref_Acuerdos!$A:$E,3,FALSE())),1,0),0)</f>
        <v>0</v>
      </c>
      <c r="J165" s="7" t="str">
        <f aca="false">IFERROR(IF($A165&gt;=VLOOKUP($B165,Ref_Acuerdos!$A:$E,3,FALSE()),VLOOKUP($B165,Ref_Acuerdos!$A:$E,4,FALSE()),""),"")</f>
        <v/>
      </c>
      <c r="K165" s="4" t="str">
        <f aca="false">IFERROR(IF($A165&gt;=VLOOKUP($B165,Ref_Acuerdos!$A:$E,3,FALSE()),VLOOKUP($B165,Ref_Acuerdos!$A:$E,5,FALSE()),"Sin FTA/PTA vigente ese año - arancel NMF"),"Sin FTA/PTA identificado - arancel NMF")</f>
        <v>Sin FTA/PTA identificado - arancel NMF</v>
      </c>
    </row>
    <row r="166" customFormat="false" ht="15" hidden="false" customHeight="false" outlineLevel="0" collapsed="false">
      <c r="A166" s="2" t="n">
        <v>2011</v>
      </c>
      <c r="B166" s="2" t="s">
        <v>22</v>
      </c>
      <c r="C166" s="4" t="str">
        <f aca="false">IFERROR(VLOOKUP($B166,Ref_Continente!$A:$B,2,FALSE()),"Sin clasificar")</f>
        <v>Europe</v>
      </c>
      <c r="D166" s="5" t="n">
        <v>240</v>
      </c>
      <c r="E166" s="6" t="n">
        <v>114</v>
      </c>
      <c r="F166" s="6" t="n">
        <v>10500</v>
      </c>
      <c r="G166" s="5"/>
      <c r="H166" s="4" t="n">
        <f aca="false">IFERROR(IF(AND(VLOOKUP($B166,Ref_Acuerdos!$A:$E,2,FALSE())="FTA",$A166&gt;=VLOOKUP($B166,Ref_Acuerdos!$A:$E,3,FALSE())),1,0),0)</f>
        <v>0</v>
      </c>
      <c r="I166" s="4" t="n">
        <f aca="false">IFERROR(IF(AND(VLOOKUP($B166,Ref_Acuerdos!$A:$E,2,FALSE())="PTA",$A166&gt;=VLOOKUP($B166,Ref_Acuerdos!$A:$E,3,FALSE())),1,0),0)</f>
        <v>0</v>
      </c>
      <c r="J166" s="7" t="str">
        <f aca="false">IFERROR(IF($A166&gt;=VLOOKUP($B166,Ref_Acuerdos!$A:$E,3,FALSE()),VLOOKUP($B166,Ref_Acuerdos!$A:$E,4,FALSE()),""),"")</f>
        <v/>
      </c>
      <c r="K166" s="4" t="str">
        <f aca="false">IFERROR(IF($A166&gt;=VLOOKUP($B166,Ref_Acuerdos!$A:$E,3,FALSE()),VLOOKUP($B166,Ref_Acuerdos!$A:$E,5,FALSE()),"Sin FTA/PTA vigente ese año - arancel NMF"),"Sin FTA/PTA identificado - arancel NMF")</f>
        <v>Sin FTA/PTA identificado - arancel NMF</v>
      </c>
    </row>
    <row r="167" customFormat="false" ht="15" hidden="false" customHeight="false" outlineLevel="0" collapsed="false">
      <c r="A167" s="2" t="n">
        <v>2011</v>
      </c>
      <c r="B167" s="2" t="s">
        <v>24</v>
      </c>
      <c r="C167" s="4" t="str">
        <f aca="false">IFERROR(VLOOKUP($B167,Ref_Continente!$A:$B,2,FALSE()),"Sin clasificar")</f>
        <v>Europe</v>
      </c>
      <c r="D167" s="5" t="n">
        <v>225</v>
      </c>
      <c r="E167" s="6" t="n">
        <v>172</v>
      </c>
      <c r="F167" s="6" t="n">
        <v>10870</v>
      </c>
      <c r="G167" s="5" t="n">
        <v>57681293006.97</v>
      </c>
      <c r="H167" s="4" t="n">
        <f aca="false">IFERROR(IF(AND(VLOOKUP($B167,Ref_Acuerdos!$A:$E,2,FALSE())="FTA",$A167&gt;=VLOOKUP($B167,Ref_Acuerdos!$A:$E,3,FALSE())),1,0),0)</f>
        <v>0</v>
      </c>
      <c r="I167" s="4" t="n">
        <f aca="false">IFERROR(IF(AND(VLOOKUP($B167,Ref_Acuerdos!$A:$E,2,FALSE())="PTA",$A167&gt;=VLOOKUP($B167,Ref_Acuerdos!$A:$E,3,FALSE())),1,0),0)</f>
        <v>0</v>
      </c>
      <c r="J167" s="7" t="str">
        <f aca="false">IFERROR(IF($A167&gt;=VLOOKUP($B167,Ref_Acuerdos!$A:$E,3,FALSE()),VLOOKUP($B167,Ref_Acuerdos!$A:$E,4,FALSE()),""),"")</f>
        <v/>
      </c>
      <c r="K167" s="4" t="str">
        <f aca="false">IFERROR(IF($A167&gt;=VLOOKUP($B167,Ref_Acuerdos!$A:$E,3,FALSE()),VLOOKUP($B167,Ref_Acuerdos!$A:$E,5,FALSE()),"Sin FTA/PTA vigente ese año - arancel NMF"),"Sin FTA/PTA identificado - arancel NMF")</f>
        <v>Sin FTA/PTA vigente ese año - arancel NMF</v>
      </c>
    </row>
    <row r="168" customFormat="false" ht="15" hidden="false" customHeight="false" outlineLevel="0" collapsed="false">
      <c r="A168" s="2" t="n">
        <v>2011</v>
      </c>
      <c r="B168" s="2" t="s">
        <v>33</v>
      </c>
      <c r="C168" s="4" t="str">
        <f aca="false">IFERROR(VLOOKUP($B168,Ref_Continente!$A:$B,2,FALSE()),"Sin clasificar")</f>
        <v>North America</v>
      </c>
      <c r="D168" s="5" t="n">
        <v>216</v>
      </c>
      <c r="E168" s="6" t="n">
        <v>34</v>
      </c>
      <c r="F168" s="6" t="n">
        <v>2100</v>
      </c>
      <c r="G168" s="5"/>
      <c r="H168" s="4" t="n">
        <f aca="false">IFERROR(IF(AND(VLOOKUP($B168,Ref_Acuerdos!$A:$E,2,FALSE())="FTA",$A168&gt;=VLOOKUP($B168,Ref_Acuerdos!$A:$E,3,FALSE())),1,0),0)</f>
        <v>0</v>
      </c>
      <c r="I168" s="4" t="n">
        <f aca="false">IFERROR(IF(AND(VLOOKUP($B168,Ref_Acuerdos!$A:$E,2,FALSE())="PTA",$A168&gt;=VLOOKUP($B168,Ref_Acuerdos!$A:$E,3,FALSE())),1,0),0)</f>
        <v>0</v>
      </c>
      <c r="J168" s="7" t="str">
        <f aca="false">IFERROR(IF($A168&gt;=VLOOKUP($B168,Ref_Acuerdos!$A:$E,3,FALSE()),VLOOKUP($B168,Ref_Acuerdos!$A:$E,4,FALSE()),""),"")</f>
        <v/>
      </c>
      <c r="K168" s="4" t="str">
        <f aca="false">IFERROR(IF($A168&gt;=VLOOKUP($B168,Ref_Acuerdos!$A:$E,3,FALSE()),VLOOKUP($B168,Ref_Acuerdos!$A:$E,5,FALSE()),"Sin FTA/PTA vigente ese año - arancel NMF"),"Sin FTA/PTA identificado - arancel NMF")</f>
        <v>Sin FTA/PTA identificado - arancel NMF</v>
      </c>
    </row>
    <row r="169" customFormat="false" ht="15" hidden="false" customHeight="false" outlineLevel="0" collapsed="false">
      <c r="A169" s="2" t="n">
        <v>2011</v>
      </c>
      <c r="B169" s="2" t="s">
        <v>41</v>
      </c>
      <c r="C169" s="4" t="str">
        <f aca="false">IFERROR(VLOOKUP($B169,Ref_Continente!$A:$B,2,FALSE()),"Sin clasificar")</f>
        <v>Europe</v>
      </c>
      <c r="D169" s="5" t="n">
        <v>183</v>
      </c>
      <c r="E169" s="6" t="n">
        <v>39</v>
      </c>
      <c r="F169" s="6" t="n">
        <v>10450</v>
      </c>
      <c r="G169" s="5" t="n">
        <v>275126915515.57</v>
      </c>
      <c r="H169" s="4" t="n">
        <f aca="false">IFERROR(IF(AND(VLOOKUP($B169,Ref_Acuerdos!$A:$E,2,FALSE())="FTA",$A169&gt;=VLOOKUP($B169,Ref_Acuerdos!$A:$E,3,FALSE())),1,0),0)</f>
        <v>0</v>
      </c>
      <c r="I169" s="4" t="n">
        <f aca="false">IFERROR(IF(AND(VLOOKUP($B169,Ref_Acuerdos!$A:$E,2,FALSE())="PTA",$A169&gt;=VLOOKUP($B169,Ref_Acuerdos!$A:$E,3,FALSE())),1,0),0)</f>
        <v>0</v>
      </c>
      <c r="J169" s="7" t="str">
        <f aca="false">IFERROR(IF($A169&gt;=VLOOKUP($B169,Ref_Acuerdos!$A:$E,3,FALSE()),VLOOKUP($B169,Ref_Acuerdos!$A:$E,4,FALSE()),""),"")</f>
        <v/>
      </c>
      <c r="K169" s="4" t="str">
        <f aca="false">IFERROR(IF($A169&gt;=VLOOKUP($B169,Ref_Acuerdos!$A:$E,3,FALSE()),VLOOKUP($B169,Ref_Acuerdos!$A:$E,5,FALSE()),"Sin FTA/PTA vigente ese año - arancel NMF"),"Sin FTA/PTA identificado - arancel NMF")</f>
        <v>Sin FTA/PTA vigente ese año - arancel NMF</v>
      </c>
    </row>
    <row r="170" customFormat="false" ht="15" hidden="false" customHeight="false" outlineLevel="0" collapsed="false">
      <c r="A170" s="2" t="n">
        <v>2011</v>
      </c>
      <c r="B170" s="2" t="s">
        <v>36</v>
      </c>
      <c r="C170" s="4" t="str">
        <f aca="false">IFERROR(VLOOKUP($B170,Ref_Continente!$A:$B,2,FALSE()),"Sin clasificar")</f>
        <v>Asia</v>
      </c>
      <c r="D170" s="5" t="n">
        <v>144</v>
      </c>
      <c r="E170" s="6" t="n">
        <v>26</v>
      </c>
      <c r="F170" s="6" t="n">
        <v>14800</v>
      </c>
      <c r="G170" s="5"/>
      <c r="H170" s="4" t="n">
        <f aca="false">IFERROR(IF(AND(VLOOKUP($B170,Ref_Acuerdos!$A:$E,2,FALSE())="FTA",$A170&gt;=VLOOKUP($B170,Ref_Acuerdos!$A:$E,3,FALSE())),1,0),0)</f>
        <v>0</v>
      </c>
      <c r="I170" s="4" t="n">
        <f aca="false">IFERROR(IF(AND(VLOOKUP($B170,Ref_Acuerdos!$A:$E,2,FALSE())="PTA",$A170&gt;=VLOOKUP($B170,Ref_Acuerdos!$A:$E,3,FALSE())),1,0),0)</f>
        <v>0</v>
      </c>
      <c r="J170" s="7" t="str">
        <f aca="false">IFERROR(IF($A170&gt;=VLOOKUP($B170,Ref_Acuerdos!$A:$E,3,FALSE()),VLOOKUP($B170,Ref_Acuerdos!$A:$E,4,FALSE()),""),"")</f>
        <v/>
      </c>
      <c r="K170" s="4" t="str">
        <f aca="false">IFERROR(IF($A170&gt;=VLOOKUP($B170,Ref_Acuerdos!$A:$E,3,FALSE()),VLOOKUP($B170,Ref_Acuerdos!$A:$E,5,FALSE()),"Sin FTA/PTA vigente ese año - arancel NMF"),"Sin FTA/PTA identificado - arancel NMF")</f>
        <v>Sin FTA/PTA identificado - arancel NMF</v>
      </c>
    </row>
    <row r="171" customFormat="false" ht="15" hidden="false" customHeight="false" outlineLevel="0" collapsed="false">
      <c r="A171" s="2" t="n">
        <v>2011</v>
      </c>
      <c r="B171" s="2" t="s">
        <v>17</v>
      </c>
      <c r="C171" s="4" t="str">
        <f aca="false">IFERROR(VLOOKUP($B171,Ref_Continente!$A:$B,2,FALSE()),"Sin clasificar")</f>
        <v>North America</v>
      </c>
      <c r="D171" s="5" t="n">
        <v>106</v>
      </c>
      <c r="E171" s="6" t="n">
        <v>14</v>
      </c>
      <c r="F171" s="6"/>
      <c r="G171" s="5"/>
      <c r="H171" s="4" t="n">
        <f aca="false">IFERROR(IF(AND(VLOOKUP($B171,Ref_Acuerdos!$A:$E,2,FALSE())="FTA",$A171&gt;=VLOOKUP($B171,Ref_Acuerdos!$A:$E,3,FALSE())),1,0),0)</f>
        <v>0</v>
      </c>
      <c r="I171" s="4" t="n">
        <f aca="false">IFERROR(IF(AND(VLOOKUP($B171,Ref_Acuerdos!$A:$E,2,FALSE())="PTA",$A171&gt;=VLOOKUP($B171,Ref_Acuerdos!$A:$E,3,FALSE())),1,0),0)</f>
        <v>0</v>
      </c>
      <c r="J171" s="7" t="str">
        <f aca="false">IFERROR(IF($A171&gt;=VLOOKUP($B171,Ref_Acuerdos!$A:$E,3,FALSE()),VLOOKUP($B171,Ref_Acuerdos!$A:$E,4,FALSE()),""),"")</f>
        <v/>
      </c>
      <c r="K171" s="4" t="str">
        <f aca="false">IFERROR(IF($A171&gt;=VLOOKUP($B171,Ref_Acuerdos!$A:$E,3,FALSE()),VLOOKUP($B171,Ref_Acuerdos!$A:$E,5,FALSE()),"Sin FTA/PTA vigente ese año - arancel NMF"),"Sin FTA/PTA identificado - arancel NMF")</f>
        <v>Sin FTA/PTA identificado - arancel NMF</v>
      </c>
    </row>
    <row r="172" customFormat="false" ht="15" hidden="false" customHeight="false" outlineLevel="0" collapsed="false">
      <c r="A172" s="2" t="n">
        <v>2011</v>
      </c>
      <c r="B172" s="2" t="s">
        <v>53</v>
      </c>
      <c r="C172" s="4" t="str">
        <f aca="false">IFERROR(VLOOKUP($B172,Ref_Continente!$A:$B,2,FALSE()),"Sin clasificar")</f>
        <v>Asia</v>
      </c>
      <c r="D172" s="5" t="n">
        <v>44</v>
      </c>
      <c r="E172" s="6" t="n">
        <v>8</v>
      </c>
      <c r="F172" s="6" t="n">
        <v>16200</v>
      </c>
      <c r="G172" s="5" t="n">
        <v>1823051829894.55</v>
      </c>
      <c r="H172" s="4" t="n">
        <f aca="false">IFERROR(IF(AND(VLOOKUP($B172,Ref_Acuerdos!$A:$E,2,FALSE())="FTA",$A172&gt;=VLOOKUP($B172,Ref_Acuerdos!$A:$E,3,FALSE())),1,0),0)</f>
        <v>0</v>
      </c>
      <c r="I172" s="4" t="n">
        <f aca="false">IFERROR(IF(AND(VLOOKUP($B172,Ref_Acuerdos!$A:$E,2,FALSE())="PTA",$A172&gt;=VLOOKUP($B172,Ref_Acuerdos!$A:$E,3,FALSE())),1,0),0)</f>
        <v>0</v>
      </c>
      <c r="J172" s="7" t="str">
        <f aca="false">IFERROR(IF($A172&gt;=VLOOKUP($B172,Ref_Acuerdos!$A:$E,3,FALSE()),VLOOKUP($B172,Ref_Acuerdos!$A:$E,4,FALSE()),""),"")</f>
        <v/>
      </c>
      <c r="K172" s="4" t="str">
        <f aca="false">IFERROR(IF($A172&gt;=VLOOKUP($B172,Ref_Acuerdos!$A:$E,3,FALSE()),VLOOKUP($B172,Ref_Acuerdos!$A:$E,5,FALSE()),"Sin FTA/PTA vigente ese año - arancel NMF"),"Sin FTA/PTA identificado - arancel NMF")</f>
        <v>Sin FTA/PTA identificado - arancel NMF</v>
      </c>
    </row>
    <row r="173" customFormat="false" ht="15" hidden="false" customHeight="false" outlineLevel="0" collapsed="false">
      <c r="A173" s="2" t="n">
        <v>2011</v>
      </c>
      <c r="B173" s="2" t="s">
        <v>27</v>
      </c>
      <c r="C173" s="4" t="str">
        <f aca="false">IFERROR(VLOOKUP($B173,Ref_Continente!$A:$B,2,FALSE()),"Sin clasificar")</f>
        <v>Asia</v>
      </c>
      <c r="D173" s="5" t="n">
        <v>41</v>
      </c>
      <c r="E173" s="6" t="n">
        <v>14</v>
      </c>
      <c r="F173" s="6" t="n">
        <v>17000</v>
      </c>
      <c r="G173" s="5" t="n">
        <v>7671757207851.29</v>
      </c>
      <c r="H173" s="4" t="n">
        <f aca="false">IFERROR(IF(AND(VLOOKUP($B173,Ref_Acuerdos!$A:$E,2,FALSE())="FTA",$A173&gt;=VLOOKUP($B173,Ref_Acuerdos!$A:$E,3,FALSE())),1,0),0)</f>
        <v>0</v>
      </c>
      <c r="I173" s="4" t="n">
        <f aca="false">IFERROR(IF(AND(VLOOKUP($B173,Ref_Acuerdos!$A:$E,2,FALSE())="PTA",$A173&gt;=VLOOKUP($B173,Ref_Acuerdos!$A:$E,3,FALSE())),1,0),0)</f>
        <v>0</v>
      </c>
      <c r="J173" s="7" t="str">
        <f aca="false">IFERROR(IF($A173&gt;=VLOOKUP($B173,Ref_Acuerdos!$A:$E,3,FALSE()),VLOOKUP($B173,Ref_Acuerdos!$A:$E,4,FALSE()),""),"")</f>
        <v/>
      </c>
      <c r="K173" s="4" t="str">
        <f aca="false">IFERROR(IF($A173&gt;=VLOOKUP($B173,Ref_Acuerdos!$A:$E,3,FALSE()),VLOOKUP($B173,Ref_Acuerdos!$A:$E,5,FALSE()),"Sin FTA/PTA vigente ese año - arancel NMF"),"Sin FTA/PTA identificado - arancel NMF")</f>
        <v>Sin FTA/PTA vigente ese año - arancel NMF</v>
      </c>
    </row>
    <row r="174" customFormat="false" ht="15" hidden="false" customHeight="false" outlineLevel="0" collapsed="false">
      <c r="A174" s="2" t="n">
        <v>2011</v>
      </c>
      <c r="B174" s="2" t="s">
        <v>117</v>
      </c>
      <c r="C174" s="4" t="str">
        <f aca="false">IFERROR(VLOOKUP($B174,Ref_Continente!$A:$B,2,FALSE()),"Sin clasificar")</f>
        <v>Europe</v>
      </c>
      <c r="D174" s="5" t="n">
        <v>30</v>
      </c>
      <c r="E174" s="6" t="n">
        <v>9</v>
      </c>
      <c r="F174" s="6" t="n">
        <v>9200</v>
      </c>
      <c r="G174" s="5" t="n">
        <v>2675590034128.66</v>
      </c>
      <c r="H174" s="4" t="n">
        <f aca="false">IFERROR(IF(AND(VLOOKUP($B174,Ref_Acuerdos!$A:$E,2,FALSE())="FTA",$A174&gt;=VLOOKUP($B174,Ref_Acuerdos!$A:$E,3,FALSE())),1,0),0)</f>
        <v>0</v>
      </c>
      <c r="I174" s="4" t="n">
        <f aca="false">IFERROR(IF(AND(VLOOKUP($B174,Ref_Acuerdos!$A:$E,2,FALSE())="PTA",$A174&gt;=VLOOKUP($B174,Ref_Acuerdos!$A:$E,3,FALSE())),1,0),0)</f>
        <v>0</v>
      </c>
      <c r="J174" s="7" t="str">
        <f aca="false">IFERROR(IF($A174&gt;=VLOOKUP($B174,Ref_Acuerdos!$A:$E,3,FALSE()),VLOOKUP($B174,Ref_Acuerdos!$A:$E,4,FALSE()),""),"")</f>
        <v/>
      </c>
      <c r="K174" s="4" t="str">
        <f aca="false">IFERROR(IF($A174&gt;=VLOOKUP($B174,Ref_Acuerdos!$A:$E,3,FALSE()),VLOOKUP($B174,Ref_Acuerdos!$A:$E,5,FALSE()),"Sin FTA/PTA vigente ese año - arancel NMF"),"Sin FTA/PTA identificado - arancel NMF")</f>
        <v>Sin FTA/PTA vigente ese año - arancel NMF</v>
      </c>
    </row>
    <row r="175" customFormat="false" ht="15" hidden="false" customHeight="false" outlineLevel="0" collapsed="false">
      <c r="A175" s="2" t="n">
        <v>2012</v>
      </c>
      <c r="B175" s="2" t="s">
        <v>96</v>
      </c>
      <c r="C175" s="4" t="str">
        <f aca="false">IFERROR(VLOOKUP($B175,Ref_Continente!$A:$B,2,FALSE()),"Sin clasificar")</f>
        <v>Europe</v>
      </c>
      <c r="D175" s="5" t="n">
        <v>6199504</v>
      </c>
      <c r="E175" s="6" t="n">
        <v>1567166</v>
      </c>
      <c r="F175" s="6" t="n">
        <v>12000</v>
      </c>
      <c r="G175" s="5" t="n">
        <v>2208293553878.42</v>
      </c>
      <c r="H175" s="4" t="n">
        <f aca="false">IFERROR(IF(AND(VLOOKUP($B175,Ref_Acuerdos!$A:$E,2,FALSE())="FTA",$A175&gt;=VLOOKUP($B175,Ref_Acuerdos!$A:$E,3,FALSE())),1,0),0)</f>
        <v>0</v>
      </c>
      <c r="I175" s="4" t="n">
        <f aca="false">IFERROR(IF(AND(VLOOKUP($B175,Ref_Acuerdos!$A:$E,2,FALSE())="PTA",$A175&gt;=VLOOKUP($B175,Ref_Acuerdos!$A:$E,3,FALSE())),1,0),0)</f>
        <v>0</v>
      </c>
      <c r="J175" s="7" t="str">
        <f aca="false">IFERROR(IF($A175&gt;=VLOOKUP($B175,Ref_Acuerdos!$A:$E,3,FALSE()),VLOOKUP($B175,Ref_Acuerdos!$A:$E,4,FALSE()),""),"")</f>
        <v/>
      </c>
      <c r="K175" s="4" t="str">
        <f aca="false">IFERROR(IF($A175&gt;=VLOOKUP($B175,Ref_Acuerdos!$A:$E,3,FALSE()),VLOOKUP($B175,Ref_Acuerdos!$A:$E,5,FALSE()),"Sin FTA/PTA vigente ese año - arancel NMF"),"Sin FTA/PTA identificado - arancel NMF")</f>
        <v>Sin FTA/PTA identificado - arancel NMF</v>
      </c>
    </row>
    <row r="176" customFormat="false" ht="15" hidden="false" customHeight="false" outlineLevel="0" collapsed="false">
      <c r="A176" s="2" t="n">
        <v>2012</v>
      </c>
      <c r="B176" s="2" t="s">
        <v>114</v>
      </c>
      <c r="C176" s="4" t="str">
        <f aca="false">IFERROR(VLOOKUP($B176,Ref_Continente!$A:$B,2,FALSE()),"Sin clasificar")</f>
        <v>North America</v>
      </c>
      <c r="D176" s="5" t="n">
        <v>4072760</v>
      </c>
      <c r="E176" s="6" t="n">
        <v>810562</v>
      </c>
      <c r="F176" s="6" t="n">
        <v>4550</v>
      </c>
      <c r="G176" s="5" t="n">
        <v>16253972230000</v>
      </c>
      <c r="H176" s="4" t="n">
        <f aca="false">IFERROR(IF(AND(VLOOKUP($B176,Ref_Acuerdos!$A:$E,2,FALSE())="FTA",$A176&gt;=VLOOKUP($B176,Ref_Acuerdos!$A:$E,3,FALSE())),1,0),0)</f>
        <v>0</v>
      </c>
      <c r="I176" s="4" t="n">
        <f aca="false">IFERROR(IF(AND(VLOOKUP($B176,Ref_Acuerdos!$A:$E,2,FALSE())="PTA",$A176&gt;=VLOOKUP($B176,Ref_Acuerdos!$A:$E,3,FALSE())),1,0),0)</f>
        <v>0</v>
      </c>
      <c r="J176" s="7" t="str">
        <f aca="false">IFERROR(IF($A176&gt;=VLOOKUP($B176,Ref_Acuerdos!$A:$E,3,FALSE()),VLOOKUP($B176,Ref_Acuerdos!$A:$E,4,FALSE()),""),"")</f>
        <v/>
      </c>
      <c r="K176" s="4" t="str">
        <f aca="false">IFERROR(IF($A176&gt;=VLOOKUP($B176,Ref_Acuerdos!$A:$E,3,FALSE()),VLOOKUP($B176,Ref_Acuerdos!$A:$E,5,FALSE()),"Sin FTA/PTA vigente ese año - arancel NMF"),"Sin FTA/PTA identificado - arancel NMF")</f>
        <v>Sin FTA/PTA identificado - arancel NMF</v>
      </c>
    </row>
    <row r="177" customFormat="false" ht="15" hidden="false" customHeight="false" outlineLevel="0" collapsed="false">
      <c r="A177" s="2" t="n">
        <v>2012</v>
      </c>
      <c r="B177" s="2" t="s">
        <v>61</v>
      </c>
      <c r="C177" s="4" t="str">
        <f aca="false">IFERROR(VLOOKUP($B177,Ref_Continente!$A:$B,2,FALSE()),"Sin clasificar")</f>
        <v>Asia</v>
      </c>
      <c r="D177" s="5" t="n">
        <v>2136266</v>
      </c>
      <c r="E177" s="6" t="n">
        <v>411736</v>
      </c>
      <c r="F177" s="6" t="n">
        <v>14500</v>
      </c>
      <c r="G177" s="5" t="n">
        <v>6272362996105.03</v>
      </c>
      <c r="H177" s="4" t="n">
        <f aca="false">IFERROR(IF(AND(VLOOKUP($B177,Ref_Acuerdos!$A:$E,2,FALSE())="FTA",$A177&gt;=VLOOKUP($B177,Ref_Acuerdos!$A:$E,3,FALSE())),1,0),0)</f>
        <v>0</v>
      </c>
      <c r="I177" s="4" t="n">
        <f aca="false">IFERROR(IF(AND(VLOOKUP($B177,Ref_Acuerdos!$A:$E,2,FALSE())="PTA",$A177&gt;=VLOOKUP($B177,Ref_Acuerdos!$A:$E,3,FALSE())),1,0),0)</f>
        <v>0</v>
      </c>
      <c r="J177" s="7" t="str">
        <f aca="false">IFERROR(IF($A177&gt;=VLOOKUP($B177,Ref_Acuerdos!$A:$E,3,FALSE()),VLOOKUP($B177,Ref_Acuerdos!$A:$E,4,FALSE()),""),"")</f>
        <v/>
      </c>
      <c r="K177" s="4" t="str">
        <f aca="false">IFERROR(IF($A177&gt;=VLOOKUP($B177,Ref_Acuerdos!$A:$E,3,FALSE()),VLOOKUP($B177,Ref_Acuerdos!$A:$E,5,FALSE()),"Sin FTA/PTA vigente ese año - arancel NMF"),"Sin FTA/PTA identificado - arancel NMF")</f>
        <v>Sin FTA/PTA identificado - arancel NMF</v>
      </c>
    </row>
    <row r="178" customFormat="false" ht="15" hidden="false" customHeight="false" outlineLevel="0" collapsed="false">
      <c r="A178" s="2" t="n">
        <v>2012</v>
      </c>
      <c r="B178" s="2" t="s">
        <v>77</v>
      </c>
      <c r="C178" s="4" t="str">
        <f aca="false">IFERROR(VLOOKUP($B178,Ref_Continente!$A:$B,2,FALSE()),"Sin clasificar")</f>
        <v>Europe</v>
      </c>
      <c r="D178" s="5" t="n">
        <v>1279609</v>
      </c>
      <c r="E178" s="6" t="n">
        <v>272816</v>
      </c>
      <c r="F178" s="6" t="n">
        <v>9300</v>
      </c>
      <c r="G178" s="5" t="n">
        <v>845689017065.63</v>
      </c>
      <c r="H178" s="4" t="n">
        <f aca="false">IFERROR(IF(AND(VLOOKUP($B178,Ref_Acuerdos!$A:$E,2,FALSE())="FTA",$A178&gt;=VLOOKUP($B178,Ref_Acuerdos!$A:$E,3,FALSE())),1,0),0)</f>
        <v>0</v>
      </c>
      <c r="I178" s="4" t="n">
        <f aca="false">IFERROR(IF(AND(VLOOKUP($B178,Ref_Acuerdos!$A:$E,2,FALSE())="PTA",$A178&gt;=VLOOKUP($B178,Ref_Acuerdos!$A:$E,3,FALSE())),1,0),0)</f>
        <v>0</v>
      </c>
      <c r="J178" s="7" t="str">
        <f aca="false">IFERROR(IF($A178&gt;=VLOOKUP($B178,Ref_Acuerdos!$A:$E,3,FALSE()),VLOOKUP($B178,Ref_Acuerdos!$A:$E,4,FALSE()),""),"")</f>
        <v/>
      </c>
      <c r="K178" s="4" t="str">
        <f aca="false">IFERROR(IF($A178&gt;=VLOOKUP($B178,Ref_Acuerdos!$A:$E,3,FALSE()),VLOOKUP($B178,Ref_Acuerdos!$A:$E,5,FALSE()),"Sin FTA/PTA vigente ese año - arancel NMF"),"Sin FTA/PTA identificado - arancel NMF")</f>
        <v>Sin FTA/PTA vigente ese año - arancel NMF</v>
      </c>
    </row>
    <row r="179" customFormat="false" ht="15" hidden="false" customHeight="false" outlineLevel="0" collapsed="false">
      <c r="A179" s="2" t="n">
        <v>2012</v>
      </c>
      <c r="B179" s="2" t="s">
        <v>105</v>
      </c>
      <c r="C179" s="4" t="str">
        <f aca="false">IFERROR(VLOOKUP($B179,Ref_Continente!$A:$B,2,FALSE()),"Sin clasificar")</f>
        <v>Europe</v>
      </c>
      <c r="D179" s="5" t="n">
        <v>727487</v>
      </c>
      <c r="E179" s="6" t="n">
        <v>158635</v>
      </c>
      <c r="F179" s="6" t="n">
        <v>8700</v>
      </c>
      <c r="G179" s="5" t="n">
        <v>1330994811670.31</v>
      </c>
      <c r="H179" s="4" t="n">
        <f aca="false">IFERROR(IF(AND(VLOOKUP($B179,Ref_Acuerdos!$A:$E,2,FALSE())="FTA",$A179&gt;=VLOOKUP($B179,Ref_Acuerdos!$A:$E,3,FALSE())),1,0),0)</f>
        <v>0</v>
      </c>
      <c r="I179" s="4" t="n">
        <f aca="false">IFERROR(IF(AND(VLOOKUP($B179,Ref_Acuerdos!$A:$E,2,FALSE())="PTA",$A179&gt;=VLOOKUP($B179,Ref_Acuerdos!$A:$E,3,FALSE())),1,0),0)</f>
        <v>0</v>
      </c>
      <c r="J179" s="7" t="str">
        <f aca="false">IFERROR(IF($A179&gt;=VLOOKUP($B179,Ref_Acuerdos!$A:$E,3,FALSE()),VLOOKUP($B179,Ref_Acuerdos!$A:$E,4,FALSE()),""),"")</f>
        <v/>
      </c>
      <c r="K179" s="4" t="str">
        <f aca="false">IFERROR(IF($A179&gt;=VLOOKUP($B179,Ref_Acuerdos!$A:$E,3,FALSE()),VLOOKUP($B179,Ref_Acuerdos!$A:$E,5,FALSE()),"Sin FTA/PTA vigente ese año - arancel NMF"),"Sin FTA/PTA identificado - arancel NMF")</f>
        <v>Sin FTA/PTA vigente ese año - arancel NMF</v>
      </c>
    </row>
    <row r="180" customFormat="false" ht="15" hidden="false" customHeight="false" outlineLevel="0" collapsed="false">
      <c r="A180" s="2" t="n">
        <v>2012</v>
      </c>
      <c r="B180" s="2" t="s">
        <v>26</v>
      </c>
      <c r="C180" s="4" t="str">
        <f aca="false">IFERROR(VLOOKUP($B180,Ref_Continente!$A:$B,2,FALSE()),"Sin clasificar")</f>
        <v>South America</v>
      </c>
      <c r="D180" s="5" t="n">
        <v>510627</v>
      </c>
      <c r="E180" s="6" t="n">
        <v>13263</v>
      </c>
      <c r="F180" s="6" t="n">
        <v>2600</v>
      </c>
      <c r="G180" s="5" t="n">
        <v>267024782486.86</v>
      </c>
      <c r="H180" s="4" t="n">
        <f aca="false">IFERROR(IF(AND(VLOOKUP($B180,Ref_Acuerdos!$A:$E,2,FALSE())="FTA",$A180&gt;=VLOOKUP($B180,Ref_Acuerdos!$A:$E,3,FALSE())),1,0),0)</f>
        <v>1</v>
      </c>
      <c r="I180" s="4" t="n">
        <f aca="false">IFERROR(IF(AND(VLOOKUP($B180,Ref_Acuerdos!$A:$E,2,FALSE())="PTA",$A180&gt;=VLOOKUP($B180,Ref_Acuerdos!$A:$E,3,FALSE())),1,0),0)</f>
        <v>0</v>
      </c>
      <c r="J180" s="7" t="n">
        <f aca="false">IFERROR(IF($A180&gt;=VLOOKUP($B180,Ref_Acuerdos!$A:$E,3,FALSE()),VLOOKUP($B180,Ref_Acuerdos!$A:$E,4,FALSE()),""),"")</f>
        <v>0</v>
      </c>
      <c r="K180" s="4" t="str">
        <f aca="false">IFERROR(IF($A180&gt;=VLOOKUP($B180,Ref_Acuerdos!$A:$E,3,FALSE()),VLOOKUP($B180,Ref_Acuerdos!$A:$E,5,FALSE()),"Sin FTA/PTA vigente ese año - arancel NMF"),"Sin FTA/PTA identificado - arancel NMF")</f>
        <v>Ecuador-Chile ACE 65, vigente desde 2010</v>
      </c>
    </row>
    <row r="181" customFormat="false" ht="15" hidden="false" customHeight="false" outlineLevel="0" collapsed="false">
      <c r="A181" s="2" t="n">
        <v>2012</v>
      </c>
      <c r="B181" s="2" t="s">
        <v>115</v>
      </c>
      <c r="C181" s="4" t="str">
        <f aca="false">IFERROR(VLOOKUP($B181,Ref_Continente!$A:$B,2,FALSE()),"Sin clasificar")</f>
        <v>Europe</v>
      </c>
      <c r="D181" s="5" t="n">
        <v>448087</v>
      </c>
      <c r="E181" s="6" t="n">
        <v>96476</v>
      </c>
      <c r="F181" s="6" t="n">
        <v>11</v>
      </c>
      <c r="G181" s="5" t="n">
        <v>182591753827.95</v>
      </c>
      <c r="H181" s="4" t="n">
        <f aca="false">IFERROR(IF(AND(VLOOKUP($B181,Ref_Acuerdos!$A:$E,2,FALSE())="FTA",$A181&gt;=VLOOKUP($B181,Ref_Acuerdos!$A:$E,3,FALSE())),1,0),0)</f>
        <v>0</v>
      </c>
      <c r="I181" s="4" t="n">
        <f aca="false">IFERROR(IF(AND(VLOOKUP($B181,Ref_Acuerdos!$A:$E,2,FALSE())="PTA",$A181&gt;=VLOOKUP($B181,Ref_Acuerdos!$A:$E,3,FALSE())),1,0),0)</f>
        <v>0</v>
      </c>
      <c r="J181" s="7" t="str">
        <f aca="false">IFERROR(IF($A181&gt;=VLOOKUP($B181,Ref_Acuerdos!$A:$E,3,FALSE()),VLOOKUP($B181,Ref_Acuerdos!$A:$E,4,FALSE()),""),"")</f>
        <v/>
      </c>
      <c r="K181" s="4" t="str">
        <f aca="false">IFERROR(IF($A181&gt;=VLOOKUP($B181,Ref_Acuerdos!$A:$E,3,FALSE()),VLOOKUP($B181,Ref_Acuerdos!$A:$E,5,FALSE()),"Sin FTA/PTA vigente ese año - arancel NMF"),"Sin FTA/PTA identificado - arancel NMF")</f>
        <v>Sin FTA/PTA identificado - arancel NMF</v>
      </c>
    </row>
    <row r="182" customFormat="false" ht="15" hidden="false" customHeight="false" outlineLevel="0" collapsed="false">
      <c r="A182" s="2" t="n">
        <v>2012</v>
      </c>
      <c r="B182" s="2" t="s">
        <v>4</v>
      </c>
      <c r="C182" s="4" t="str">
        <f aca="false">IFERROR(VLOOKUP($B182,Ref_Continente!$A:$B,2,FALSE()),"Sin clasificar")</f>
        <v>Sin clasificar</v>
      </c>
      <c r="D182" s="5" t="n">
        <v>435071</v>
      </c>
      <c r="E182" s="6" t="n">
        <v>53505</v>
      </c>
      <c r="F182" s="6" t="n">
        <v>0</v>
      </c>
      <c r="G182" s="5"/>
      <c r="H182" s="4" t="n">
        <f aca="false">IFERROR(IF(AND(VLOOKUP($B182,Ref_Acuerdos!$A:$E,2,FALSE())="FTA",$A182&gt;=VLOOKUP($B182,Ref_Acuerdos!$A:$E,3,FALSE())),1,0),0)</f>
        <v>0</v>
      </c>
      <c r="I182" s="4" t="n">
        <f aca="false">IFERROR(IF(AND(VLOOKUP($B182,Ref_Acuerdos!$A:$E,2,FALSE())="PTA",$A182&gt;=VLOOKUP($B182,Ref_Acuerdos!$A:$E,3,FALSE())),1,0),0)</f>
        <v>0</v>
      </c>
      <c r="J182" s="7" t="str">
        <f aca="false">IFERROR(IF($A182&gt;=VLOOKUP($B182,Ref_Acuerdos!$A:$E,3,FALSE()),VLOOKUP($B182,Ref_Acuerdos!$A:$E,4,FALSE()),""),"")</f>
        <v/>
      </c>
      <c r="K182" s="4" t="str">
        <f aca="false">IFERROR(IF($A182&gt;=VLOOKUP($B182,Ref_Acuerdos!$A:$E,3,FALSE()),VLOOKUP($B182,Ref_Acuerdos!$A:$E,5,FALSE()),"Sin FTA/PTA vigente ese año - arancel NMF"),"Sin FTA/PTA identificado - arancel NMF")</f>
        <v>Sin FTA/PTA identificado - arancel NMF</v>
      </c>
    </row>
    <row r="183" customFormat="false" ht="15" hidden="false" customHeight="false" outlineLevel="0" collapsed="false">
      <c r="A183" s="2" t="n">
        <v>2012</v>
      </c>
      <c r="B183" s="2" t="s">
        <v>59</v>
      </c>
      <c r="C183" s="4" t="str">
        <f aca="false">IFERROR(VLOOKUP($B183,Ref_Continente!$A:$B,2,FALSE()),"Sin clasificar")</f>
        <v>Europe</v>
      </c>
      <c r="D183" s="5" t="n">
        <v>267813</v>
      </c>
      <c r="E183" s="6" t="n">
        <v>65206</v>
      </c>
      <c r="F183" s="6" t="n">
        <v>10100</v>
      </c>
      <c r="G183" s="5" t="n">
        <v>2097929495121.68</v>
      </c>
      <c r="H183" s="4" t="n">
        <f aca="false">IFERROR(IF(AND(VLOOKUP($B183,Ref_Acuerdos!$A:$E,2,FALSE())="FTA",$A183&gt;=VLOOKUP($B183,Ref_Acuerdos!$A:$E,3,FALSE())),1,0),0)</f>
        <v>0</v>
      </c>
      <c r="I183" s="4" t="n">
        <f aca="false">IFERROR(IF(AND(VLOOKUP($B183,Ref_Acuerdos!$A:$E,2,FALSE())="PTA",$A183&gt;=VLOOKUP($B183,Ref_Acuerdos!$A:$E,3,FALSE())),1,0),0)</f>
        <v>0</v>
      </c>
      <c r="J183" s="7" t="str">
        <f aca="false">IFERROR(IF($A183&gt;=VLOOKUP($B183,Ref_Acuerdos!$A:$E,3,FALSE()),VLOOKUP($B183,Ref_Acuerdos!$A:$E,4,FALSE()),""),"")</f>
        <v/>
      </c>
      <c r="K183" s="4" t="str">
        <f aca="false">IFERROR(IF($A183&gt;=VLOOKUP($B183,Ref_Acuerdos!$A:$E,3,FALSE()),VLOOKUP($B183,Ref_Acuerdos!$A:$E,5,FALSE()),"Sin FTA/PTA vigente ese año - arancel NMF"),"Sin FTA/PTA identificado - arancel NMF")</f>
        <v>Sin FTA/PTA vigente ese año - arancel NMF</v>
      </c>
    </row>
    <row r="184" customFormat="false" ht="15" hidden="false" customHeight="false" outlineLevel="0" collapsed="false">
      <c r="A184" s="2" t="n">
        <v>2012</v>
      </c>
      <c r="B184" s="2" t="s">
        <v>45</v>
      </c>
      <c r="C184" s="4" t="str">
        <f aca="false">IFERROR(VLOOKUP($B184,Ref_Continente!$A:$B,2,FALSE()),"Sin clasificar")</f>
        <v>Europe</v>
      </c>
      <c r="D184" s="5" t="n">
        <v>209189</v>
      </c>
      <c r="E184" s="6" t="n">
        <v>2619</v>
      </c>
      <c r="F184" s="6" t="n">
        <v>9650</v>
      </c>
      <c r="G184" s="5" t="n">
        <v>3596483233406.25</v>
      </c>
      <c r="H184" s="4" t="n">
        <f aca="false">IFERROR(IF(AND(VLOOKUP($B184,Ref_Acuerdos!$A:$E,2,FALSE())="FTA",$A184&gt;=VLOOKUP($B184,Ref_Acuerdos!$A:$E,3,FALSE())),1,0),0)</f>
        <v>0</v>
      </c>
      <c r="I184" s="4" t="n">
        <f aca="false">IFERROR(IF(AND(VLOOKUP($B184,Ref_Acuerdos!$A:$E,2,FALSE())="PTA",$A184&gt;=VLOOKUP($B184,Ref_Acuerdos!$A:$E,3,FALSE())),1,0),0)</f>
        <v>0</v>
      </c>
      <c r="J184" s="7" t="str">
        <f aca="false">IFERROR(IF($A184&gt;=VLOOKUP($B184,Ref_Acuerdos!$A:$E,3,FALSE()),VLOOKUP($B184,Ref_Acuerdos!$A:$E,4,FALSE()),""),"")</f>
        <v/>
      </c>
      <c r="K184" s="4" t="str">
        <f aca="false">IFERROR(IF($A184&gt;=VLOOKUP($B184,Ref_Acuerdos!$A:$E,3,FALSE()),VLOOKUP($B184,Ref_Acuerdos!$A:$E,5,FALSE()),"Sin FTA/PTA vigente ese año - arancel NMF"),"Sin FTA/PTA identificado - arancel NMF")</f>
        <v>Sin FTA/PTA vigente ese año - arancel NMF</v>
      </c>
    </row>
    <row r="185" customFormat="false" ht="15" hidden="false" customHeight="false" outlineLevel="0" collapsed="false">
      <c r="A185" s="2" t="n">
        <v>2012</v>
      </c>
      <c r="B185" s="2" t="s">
        <v>29</v>
      </c>
      <c r="C185" s="4" t="str">
        <f aca="false">IFERROR(VLOOKUP($B185,Ref_Continente!$A:$B,2,FALSE()),"Sin clasificar")</f>
        <v>South America</v>
      </c>
      <c r="D185" s="5" t="n">
        <v>173521</v>
      </c>
      <c r="E185" s="6" t="n">
        <v>31214</v>
      </c>
      <c r="F185" s="6" t="n">
        <v>720</v>
      </c>
      <c r="G185" s="5" t="n">
        <v>370691143018.04</v>
      </c>
      <c r="H185" s="4" t="n">
        <f aca="false">IFERROR(IF(AND(VLOOKUP($B185,Ref_Acuerdos!$A:$E,2,FALSE())="FTA",$A185&gt;=VLOOKUP($B185,Ref_Acuerdos!$A:$E,3,FALSE())),1,0),0)</f>
        <v>0</v>
      </c>
      <c r="I185" s="4" t="n">
        <f aca="false">IFERROR(IF(AND(VLOOKUP($B185,Ref_Acuerdos!$A:$E,2,FALSE())="PTA",$A185&gt;=VLOOKUP($B185,Ref_Acuerdos!$A:$E,3,FALSE())),1,0),0)</f>
        <v>1</v>
      </c>
      <c r="J185" s="7" t="n">
        <f aca="false">IFERROR(IF($A185&gt;=VLOOKUP($B185,Ref_Acuerdos!$A:$E,3,FALSE()),VLOOKUP($B185,Ref_Acuerdos!$A:$E,4,FALSE()),""),"")</f>
        <v>0</v>
      </c>
      <c r="K185" s="4" t="str">
        <f aca="false">IFERROR(IF($A185&gt;=VLOOKUP($B185,Ref_Acuerdos!$A:$E,3,FALSE()),VLOOKUP($B185,Ref_Acuerdos!$A:$E,5,FALSE()),"Sin FTA/PTA vigente ese año - arancel NMF"),"Sin FTA/PTA identificado - arancel NMF")</f>
        <v>Comunidad Andina (CAN) - libre comercio intracomunitario</v>
      </c>
    </row>
    <row r="186" customFormat="false" ht="15" hidden="false" customHeight="false" outlineLevel="0" collapsed="false">
      <c r="A186" s="2" t="n">
        <v>2012</v>
      </c>
      <c r="B186" s="2" t="s">
        <v>25</v>
      </c>
      <c r="C186" s="4" t="str">
        <f aca="false">IFERROR(VLOOKUP($B186,Ref_Continente!$A:$B,2,FALSE()),"Sin clasificar")</f>
        <v>North America</v>
      </c>
      <c r="D186" s="5" t="n">
        <v>100413</v>
      </c>
      <c r="E186" s="6" t="n">
        <v>18244</v>
      </c>
      <c r="F186" s="6" t="n">
        <v>5900</v>
      </c>
      <c r="G186" s="5" t="n">
        <v>1828366481521.6</v>
      </c>
      <c r="H186" s="4" t="n">
        <f aca="false">IFERROR(IF(AND(VLOOKUP($B186,Ref_Acuerdos!$A:$E,2,FALSE())="FTA",$A186&gt;=VLOOKUP($B186,Ref_Acuerdos!$A:$E,3,FALSE())),1,0),0)</f>
        <v>0</v>
      </c>
      <c r="I186" s="4" t="n">
        <f aca="false">IFERROR(IF(AND(VLOOKUP($B186,Ref_Acuerdos!$A:$E,2,FALSE())="PTA",$A186&gt;=VLOOKUP($B186,Ref_Acuerdos!$A:$E,3,FALSE())),1,0),0)</f>
        <v>0</v>
      </c>
      <c r="J186" s="7" t="str">
        <f aca="false">IFERROR(IF($A186&gt;=VLOOKUP($B186,Ref_Acuerdos!$A:$E,3,FALSE()),VLOOKUP($B186,Ref_Acuerdos!$A:$E,4,FALSE()),""),"")</f>
        <v/>
      </c>
      <c r="K186" s="4" t="str">
        <f aca="false">IFERROR(IF($A186&gt;=VLOOKUP($B186,Ref_Acuerdos!$A:$E,3,FALSE()),VLOOKUP($B186,Ref_Acuerdos!$A:$E,5,FALSE()),"Sin FTA/PTA vigente ese año - arancel NMF"),"Sin FTA/PTA identificado - arancel NMF")</f>
        <v>Sin FTA/PTA identificado - arancel NMF</v>
      </c>
    </row>
    <row r="187" customFormat="false" ht="15" hidden="false" customHeight="false" outlineLevel="0" collapsed="false">
      <c r="A187" s="2" t="n">
        <v>2012</v>
      </c>
      <c r="B187" s="2" t="s">
        <v>118</v>
      </c>
      <c r="C187" s="4" t="str">
        <f aca="false">IFERROR(VLOOKUP($B187,Ref_Continente!$A:$B,2,FALSE()),"Sin clasificar")</f>
        <v>South America</v>
      </c>
      <c r="D187" s="5" t="n">
        <v>95106</v>
      </c>
      <c r="E187" s="6" t="n">
        <v>25441</v>
      </c>
      <c r="F187" s="6" t="n">
        <v>4650</v>
      </c>
      <c r="G187" s="5" t="n">
        <v>54232266358.78</v>
      </c>
      <c r="H187" s="4" t="n">
        <f aca="false">IFERROR(IF(AND(VLOOKUP($B187,Ref_Acuerdos!$A:$E,2,FALSE())="FTA",$A187&gt;=VLOOKUP($B187,Ref_Acuerdos!$A:$E,3,FALSE())),1,0),0)</f>
        <v>0</v>
      </c>
      <c r="I187" s="4" t="n">
        <f aca="false">IFERROR(IF(AND(VLOOKUP($B187,Ref_Acuerdos!$A:$E,2,FALSE())="PTA",$A187&gt;=VLOOKUP($B187,Ref_Acuerdos!$A:$E,3,FALSE())),1,0),0)</f>
        <v>1</v>
      </c>
      <c r="J187" s="7" t="n">
        <f aca="false">IFERROR(IF($A187&gt;=VLOOKUP($B187,Ref_Acuerdos!$A:$E,3,FALSE()),VLOOKUP($B187,Ref_Acuerdos!$A:$E,4,FALSE()),""),"")</f>
        <v>5</v>
      </c>
      <c r="K187" s="4" t="str">
        <f aca="false">IFERROR(IF($A187&gt;=VLOOKUP($B187,Ref_Acuerdos!$A:$E,3,FALSE()),VLOOKUP($B187,Ref_Acuerdos!$A:$E,5,FALSE()),"Sin FTA/PTA vigente ese año - arancel NMF"),"Sin FTA/PTA identificado - arancel NMF")</f>
        <v>Ecuador-Mercosur ACE 59 - preferencias parciales (tarifa referencial)</v>
      </c>
    </row>
    <row r="188" customFormat="false" ht="15" hidden="false" customHeight="false" outlineLevel="0" collapsed="false">
      <c r="A188" s="2" t="n">
        <v>2012</v>
      </c>
      <c r="B188" s="2" t="s">
        <v>6</v>
      </c>
      <c r="C188" s="4" t="str">
        <f aca="false">IFERROR(VLOOKUP($B188,Ref_Continente!$A:$B,2,FALSE()),"Sin clasificar")</f>
        <v>South America</v>
      </c>
      <c r="D188" s="5" t="n">
        <v>60147</v>
      </c>
      <c r="E188" s="6" t="n">
        <v>15582</v>
      </c>
      <c r="F188" s="6" t="n">
        <v>4320</v>
      </c>
      <c r="G188" s="5" t="n">
        <v>545982375701.13</v>
      </c>
      <c r="H188" s="4" t="n">
        <f aca="false">IFERROR(IF(AND(VLOOKUP($B188,Ref_Acuerdos!$A:$E,2,FALSE())="FTA",$A188&gt;=VLOOKUP($B188,Ref_Acuerdos!$A:$E,3,FALSE())),1,0),0)</f>
        <v>0</v>
      </c>
      <c r="I188" s="4" t="n">
        <f aca="false">IFERROR(IF(AND(VLOOKUP($B188,Ref_Acuerdos!$A:$E,2,FALSE())="PTA",$A188&gt;=VLOOKUP($B188,Ref_Acuerdos!$A:$E,3,FALSE())),1,0),0)</f>
        <v>1</v>
      </c>
      <c r="J188" s="7" t="n">
        <f aca="false">IFERROR(IF($A188&gt;=VLOOKUP($B188,Ref_Acuerdos!$A:$E,3,FALSE()),VLOOKUP($B188,Ref_Acuerdos!$A:$E,4,FALSE()),""),"")</f>
        <v>5</v>
      </c>
      <c r="K188" s="4" t="str">
        <f aca="false">IFERROR(IF($A188&gt;=VLOOKUP($B188,Ref_Acuerdos!$A:$E,3,FALSE()),VLOOKUP($B188,Ref_Acuerdos!$A:$E,5,FALSE()),"Sin FTA/PTA vigente ese año - arancel NMF"),"Sin FTA/PTA identificado - arancel NMF")</f>
        <v>Ecuador-Mercosur ACE 59 - preferencias parciales (tarifa referencial)</v>
      </c>
    </row>
    <row r="189" customFormat="false" ht="15" hidden="false" customHeight="false" outlineLevel="0" collapsed="false">
      <c r="A189" s="2" t="n">
        <v>2012</v>
      </c>
      <c r="B189" s="2" t="s">
        <v>86</v>
      </c>
      <c r="C189" s="4" t="str">
        <f aca="false">IFERROR(VLOOKUP($B189,Ref_Continente!$A:$B,2,FALSE()),"Sin clasificar")</f>
        <v>North America</v>
      </c>
      <c r="D189" s="5" t="n">
        <v>53407</v>
      </c>
      <c r="E189" s="6" t="n">
        <v>14314</v>
      </c>
      <c r="F189" s="6" t="n">
        <v>1020</v>
      </c>
      <c r="G189" s="5" t="n">
        <v>41595439720.98</v>
      </c>
      <c r="H189" s="4" t="n">
        <f aca="false">IFERROR(IF(AND(VLOOKUP($B189,Ref_Acuerdos!$A:$E,2,FALSE())="FTA",$A189&gt;=VLOOKUP($B189,Ref_Acuerdos!$A:$E,3,FALSE())),1,0),0)</f>
        <v>0</v>
      </c>
      <c r="I189" s="4" t="n">
        <f aca="false">IFERROR(IF(AND(VLOOKUP($B189,Ref_Acuerdos!$A:$E,2,FALSE())="PTA",$A189&gt;=VLOOKUP($B189,Ref_Acuerdos!$A:$E,3,FALSE())),1,0),0)</f>
        <v>1</v>
      </c>
      <c r="J189" s="7" t="n">
        <f aca="false">IFERROR(IF($A189&gt;=VLOOKUP($B189,Ref_Acuerdos!$A:$E,3,FALSE()),VLOOKUP($B189,Ref_Acuerdos!$A:$E,4,FALSE()),""),"")</f>
        <v>10</v>
      </c>
      <c r="K189" s="4" t="str">
        <f aca="false">IFERROR(IF($A189&gt;=VLOOKUP($B189,Ref_Acuerdos!$A:$E,3,FALSE()),VLOOKUP($B189,Ref_Acuerdos!$A:$E,5,FALSE()),"Sin FTA/PTA vigente ese año - arancel NMF"),"Sin FTA/PTA identificado - arancel NMF")</f>
        <v>ALADI - Acuerdo de Alcance Parcial (preferencia limitada, tarifa referencial)</v>
      </c>
    </row>
    <row r="190" customFormat="false" ht="15" hidden="false" customHeight="false" outlineLevel="0" collapsed="false">
      <c r="A190" s="2" t="n">
        <v>2012</v>
      </c>
      <c r="B190" s="2" t="s">
        <v>92</v>
      </c>
      <c r="C190" s="4" t="str">
        <f aca="false">IFERROR(VLOOKUP($B190,Ref_Continente!$A:$B,2,FALSE()),"Sin clasificar")</f>
        <v>Asia</v>
      </c>
      <c r="D190" s="5" t="n">
        <v>41880</v>
      </c>
      <c r="E190" s="6" t="n">
        <v>8799</v>
      </c>
      <c r="F190" s="6" t="n">
        <v>14000</v>
      </c>
      <c r="G190" s="5" t="n">
        <v>186833516483.52</v>
      </c>
      <c r="H190" s="4" t="n">
        <f aca="false">IFERROR(IF(AND(VLOOKUP($B190,Ref_Acuerdos!$A:$E,2,FALSE())="FTA",$A190&gt;=VLOOKUP($B190,Ref_Acuerdos!$A:$E,3,FALSE())),1,0),0)</f>
        <v>0</v>
      </c>
      <c r="I190" s="4" t="n">
        <f aca="false">IFERROR(IF(AND(VLOOKUP($B190,Ref_Acuerdos!$A:$E,2,FALSE())="PTA",$A190&gt;=VLOOKUP($B190,Ref_Acuerdos!$A:$E,3,FALSE())),1,0),0)</f>
        <v>0</v>
      </c>
      <c r="J190" s="7" t="str">
        <f aca="false">IFERROR(IF($A190&gt;=VLOOKUP($B190,Ref_Acuerdos!$A:$E,3,FALSE()),VLOOKUP($B190,Ref_Acuerdos!$A:$E,4,FALSE()),""),"")</f>
        <v/>
      </c>
      <c r="K190" s="4" t="str">
        <f aca="false">IFERROR(IF($A190&gt;=VLOOKUP($B190,Ref_Acuerdos!$A:$E,3,FALSE()),VLOOKUP($B190,Ref_Acuerdos!$A:$E,5,FALSE()),"Sin FTA/PTA vigente ese año - arancel NMF"),"Sin FTA/PTA identificado - arancel NMF")</f>
        <v>Sin FTA/PTA identificado - arancel NMF</v>
      </c>
    </row>
    <row r="191" customFormat="false" ht="15" hidden="false" customHeight="false" outlineLevel="0" collapsed="false">
      <c r="A191" s="2" t="n">
        <v>2012</v>
      </c>
      <c r="B191" s="2" t="s">
        <v>32</v>
      </c>
      <c r="C191" s="4" t="str">
        <f aca="false">IFERROR(VLOOKUP($B191,Ref_Continente!$A:$B,2,FALSE()),"Sin clasificar")</f>
        <v>North America</v>
      </c>
      <c r="D191" s="5" t="n">
        <v>39014</v>
      </c>
      <c r="E191" s="6" t="n">
        <v>7366</v>
      </c>
      <c r="F191" s="6" t="n">
        <v>2450</v>
      </c>
      <c r="G191" s="5" t="n">
        <v>73141000000</v>
      </c>
      <c r="H191" s="4" t="n">
        <f aca="false">IFERROR(IF(AND(VLOOKUP($B191,Ref_Acuerdos!$A:$E,2,FALSE())="FTA",$A191&gt;=VLOOKUP($B191,Ref_Acuerdos!$A:$E,3,FALSE())),1,0),0)</f>
        <v>0</v>
      </c>
      <c r="I191" s="4" t="n">
        <f aca="false">IFERROR(IF(AND(VLOOKUP($B191,Ref_Acuerdos!$A:$E,2,FALSE())="PTA",$A191&gt;=VLOOKUP($B191,Ref_Acuerdos!$A:$E,3,FALSE())),1,0),0)</f>
        <v>1</v>
      </c>
      <c r="J191" s="7" t="n">
        <f aca="false">IFERROR(IF($A191&gt;=VLOOKUP($B191,Ref_Acuerdos!$A:$E,3,FALSE()),VLOOKUP($B191,Ref_Acuerdos!$A:$E,4,FALSE()),""),"")</f>
        <v>10</v>
      </c>
      <c r="K191" s="4" t="str">
        <f aca="false">IFERROR(IF($A191&gt;=VLOOKUP($B191,Ref_Acuerdos!$A:$E,3,FALSE()),VLOOKUP($B191,Ref_Acuerdos!$A:$E,5,FALSE()),"Sin FTA/PTA vigente ese año - arancel NMF"),"Sin FTA/PTA identificado - arancel NMF")</f>
        <v>ALADI - Acuerdo de Alcance Parcial (preferencia limitada, tarifa referencial)</v>
      </c>
    </row>
    <row r="192" customFormat="false" ht="15" hidden="false" customHeight="false" outlineLevel="0" collapsed="false">
      <c r="A192" s="2" t="n">
        <v>2012</v>
      </c>
      <c r="B192" s="2" t="s">
        <v>68</v>
      </c>
      <c r="C192" s="4" t="str">
        <f aca="false">IFERROR(VLOOKUP($B192,Ref_Continente!$A:$B,2,FALSE()),"Sin clasificar")</f>
        <v>Europe</v>
      </c>
      <c r="D192" s="5" t="n">
        <v>30913</v>
      </c>
      <c r="E192" s="6" t="n">
        <v>6288</v>
      </c>
      <c r="F192" s="6" t="n">
        <v>10250</v>
      </c>
      <c r="G192" s="5" t="n">
        <v>42709372066.86</v>
      </c>
      <c r="H192" s="4" t="n">
        <f aca="false">IFERROR(IF(AND(VLOOKUP($B192,Ref_Acuerdos!$A:$E,2,FALSE())="FTA",$A192&gt;=VLOOKUP($B192,Ref_Acuerdos!$A:$E,3,FALSE())),1,0),0)</f>
        <v>0</v>
      </c>
      <c r="I192" s="4" t="n">
        <f aca="false">IFERROR(IF(AND(VLOOKUP($B192,Ref_Acuerdos!$A:$E,2,FALSE())="PTA",$A192&gt;=VLOOKUP($B192,Ref_Acuerdos!$A:$E,3,FALSE())),1,0),0)</f>
        <v>0</v>
      </c>
      <c r="J192" s="7" t="str">
        <f aca="false">IFERROR(IF($A192&gt;=VLOOKUP($B192,Ref_Acuerdos!$A:$E,3,FALSE()),VLOOKUP($B192,Ref_Acuerdos!$A:$E,4,FALSE()),""),"")</f>
        <v/>
      </c>
      <c r="K192" s="4" t="str">
        <f aca="false">IFERROR(IF($A192&gt;=VLOOKUP($B192,Ref_Acuerdos!$A:$E,3,FALSE()),VLOOKUP($B192,Ref_Acuerdos!$A:$E,5,FALSE()),"Sin FTA/PTA vigente ese año - arancel NMF"),"Sin FTA/PTA identificado - arancel NMF")</f>
        <v>Sin FTA/PTA vigente ese año - arancel NMF</v>
      </c>
    </row>
    <row r="193" customFormat="false" ht="15" hidden="false" customHeight="false" outlineLevel="0" collapsed="false">
      <c r="A193" s="2" t="n">
        <v>2012</v>
      </c>
      <c r="B193" s="2" t="s">
        <v>23</v>
      </c>
      <c r="C193" s="4" t="str">
        <f aca="false">IFERROR(VLOOKUP($B193,Ref_Continente!$A:$B,2,FALSE()),"Sin clasificar")</f>
        <v>South America</v>
      </c>
      <c r="D193" s="5" t="n">
        <v>25033</v>
      </c>
      <c r="E193" s="6" t="n">
        <v>5168</v>
      </c>
      <c r="F193" s="6" t="n">
        <v>4330</v>
      </c>
      <c r="G193" s="5" t="n">
        <v>2465228293706.86</v>
      </c>
      <c r="H193" s="4" t="n">
        <f aca="false">IFERROR(IF(AND(VLOOKUP($B193,Ref_Acuerdos!$A:$E,2,FALSE())="FTA",$A193&gt;=VLOOKUP($B193,Ref_Acuerdos!$A:$E,3,FALSE())),1,0),0)</f>
        <v>0</v>
      </c>
      <c r="I193" s="4" t="n">
        <f aca="false">IFERROR(IF(AND(VLOOKUP($B193,Ref_Acuerdos!$A:$E,2,FALSE())="PTA",$A193&gt;=VLOOKUP($B193,Ref_Acuerdos!$A:$E,3,FALSE())),1,0),0)</f>
        <v>1</v>
      </c>
      <c r="J193" s="7" t="n">
        <f aca="false">IFERROR(IF($A193&gt;=VLOOKUP($B193,Ref_Acuerdos!$A:$E,3,FALSE()),VLOOKUP($B193,Ref_Acuerdos!$A:$E,4,FALSE()),""),"")</f>
        <v>5</v>
      </c>
      <c r="K193" s="4" t="str">
        <f aca="false">IFERROR(IF($A193&gt;=VLOOKUP($B193,Ref_Acuerdos!$A:$E,3,FALSE()),VLOOKUP($B193,Ref_Acuerdos!$A:$E,5,FALSE()),"Sin FTA/PTA vigente ese año - arancel NMF"),"Sin FTA/PTA identificado - arancel NMF")</f>
        <v>Ecuador-Mercosur ACE 59 - preferencias parciales (tarifa referencial)</v>
      </c>
    </row>
    <row r="194" customFormat="false" ht="15" hidden="false" customHeight="false" outlineLevel="0" collapsed="false">
      <c r="A194" s="2" t="n">
        <v>2012</v>
      </c>
      <c r="B194" s="2" t="s">
        <v>19</v>
      </c>
      <c r="C194" s="4" t="str">
        <f aca="false">IFERROR(VLOOKUP($B194,Ref_Continente!$A:$B,2,FALSE()),"Sin clasificar")</f>
        <v>Europe</v>
      </c>
      <c r="D194" s="5" t="n">
        <v>24668</v>
      </c>
      <c r="E194" s="6" t="n">
        <v>6527</v>
      </c>
      <c r="F194" s="6" t="n">
        <v>10600</v>
      </c>
      <c r="G194" s="5" t="n">
        <v>65685890438.89</v>
      </c>
      <c r="H194" s="4" t="n">
        <f aca="false">IFERROR(IF(AND(VLOOKUP($B194,Ref_Acuerdos!$A:$E,2,FALSE())="FTA",$A194&gt;=VLOOKUP($B194,Ref_Acuerdos!$A:$E,3,FALSE())),1,0),0)</f>
        <v>0</v>
      </c>
      <c r="I194" s="4" t="n">
        <f aca="false">IFERROR(IF(AND(VLOOKUP($B194,Ref_Acuerdos!$A:$E,2,FALSE())="PTA",$A194&gt;=VLOOKUP($B194,Ref_Acuerdos!$A:$E,3,FALSE())),1,0),0)</f>
        <v>0</v>
      </c>
      <c r="J194" s="7" t="str">
        <f aca="false">IFERROR(IF($A194&gt;=VLOOKUP($B194,Ref_Acuerdos!$A:$E,3,FALSE()),VLOOKUP($B194,Ref_Acuerdos!$A:$E,4,FALSE()),""),"")</f>
        <v/>
      </c>
      <c r="K194" s="4" t="str">
        <f aca="false">IFERROR(IF($A194&gt;=VLOOKUP($B194,Ref_Acuerdos!$A:$E,3,FALSE()),VLOOKUP($B194,Ref_Acuerdos!$A:$E,5,FALSE()),"Sin FTA/PTA vigente ese año - arancel NMF"),"Sin FTA/PTA identificado - arancel NMF")</f>
        <v>Sin FTA/PTA identificado - arancel NMF</v>
      </c>
    </row>
    <row r="195" customFormat="false" ht="15" hidden="false" customHeight="false" outlineLevel="0" collapsed="false">
      <c r="A195" s="2" t="n">
        <v>2012</v>
      </c>
      <c r="B195" s="2" t="s">
        <v>63</v>
      </c>
      <c r="C195" s="4" t="str">
        <f aca="false">IFERROR(VLOOKUP($B195,Ref_Continente!$A:$B,2,FALSE()),"Sin clasificar")</f>
        <v>Asia</v>
      </c>
      <c r="D195" s="5" t="n">
        <v>23435</v>
      </c>
      <c r="E195" s="6" t="n">
        <v>5779</v>
      </c>
      <c r="F195" s="6" t="n">
        <v>13600</v>
      </c>
      <c r="G195" s="5" t="n">
        <v>207998568865.79</v>
      </c>
      <c r="H195" s="4" t="n">
        <f aca="false">IFERROR(IF(AND(VLOOKUP($B195,Ref_Acuerdos!$A:$E,2,FALSE())="FTA",$A195&gt;=VLOOKUP($B195,Ref_Acuerdos!$A:$E,3,FALSE())),1,0),0)</f>
        <v>0</v>
      </c>
      <c r="I195" s="4" t="n">
        <f aca="false">IFERROR(IF(AND(VLOOKUP($B195,Ref_Acuerdos!$A:$E,2,FALSE())="PTA",$A195&gt;=VLOOKUP($B195,Ref_Acuerdos!$A:$E,3,FALSE())),1,0),0)</f>
        <v>0</v>
      </c>
      <c r="J195" s="7" t="str">
        <f aca="false">IFERROR(IF($A195&gt;=VLOOKUP($B195,Ref_Acuerdos!$A:$E,3,FALSE()),VLOOKUP($B195,Ref_Acuerdos!$A:$E,4,FALSE()),""),"")</f>
        <v/>
      </c>
      <c r="K195" s="4" t="str">
        <f aca="false">IFERROR(IF($A195&gt;=VLOOKUP($B195,Ref_Acuerdos!$A:$E,3,FALSE()),VLOOKUP($B195,Ref_Acuerdos!$A:$E,5,FALSE()),"Sin FTA/PTA vigente ese año - arancel NMF"),"Sin FTA/PTA identificado - arancel NMF")</f>
        <v>Sin FTA/PTA identificado - arancel NMF</v>
      </c>
    </row>
    <row r="196" customFormat="false" ht="15" hidden="false" customHeight="false" outlineLevel="0" collapsed="false">
      <c r="A196" s="2" t="n">
        <v>2012</v>
      </c>
      <c r="B196" s="2" t="s">
        <v>116</v>
      </c>
      <c r="C196" s="4" t="str">
        <f aca="false">IFERROR(VLOOKUP($B196,Ref_Continente!$A:$B,2,FALSE()),"Sin clasificar")</f>
        <v>Asia</v>
      </c>
      <c r="D196" s="5" t="n">
        <v>20046</v>
      </c>
      <c r="E196" s="6" t="n">
        <v>4612</v>
      </c>
      <c r="F196" s="6" t="n">
        <v>14200</v>
      </c>
      <c r="G196" s="5" t="n">
        <v>392793464942.14</v>
      </c>
      <c r="H196" s="4" t="n">
        <f aca="false">IFERROR(IF(AND(VLOOKUP($B196,Ref_Acuerdos!$A:$E,2,FALSE())="FTA",$A196&gt;=VLOOKUP($B196,Ref_Acuerdos!$A:$E,3,FALSE())),1,0),0)</f>
        <v>0</v>
      </c>
      <c r="I196" s="4" t="n">
        <f aca="false">IFERROR(IF(AND(VLOOKUP($B196,Ref_Acuerdos!$A:$E,2,FALSE())="PTA",$A196&gt;=VLOOKUP($B196,Ref_Acuerdos!$A:$E,3,FALSE())),1,0),0)</f>
        <v>0</v>
      </c>
      <c r="J196" s="7" t="str">
        <f aca="false">IFERROR(IF($A196&gt;=VLOOKUP($B196,Ref_Acuerdos!$A:$E,3,FALSE()),VLOOKUP($B196,Ref_Acuerdos!$A:$E,4,FALSE()),""),"")</f>
        <v/>
      </c>
      <c r="K196" s="4" t="str">
        <f aca="false">IFERROR(IF($A196&gt;=VLOOKUP($B196,Ref_Acuerdos!$A:$E,3,FALSE()),VLOOKUP($B196,Ref_Acuerdos!$A:$E,5,FALSE()),"Sin FTA/PTA vigente ese año - arancel NMF"),"Sin FTA/PTA identificado - arancel NMF")</f>
        <v>Sin FTA/PTA identificado - arancel NMF</v>
      </c>
    </row>
    <row r="197" customFormat="false" ht="15" hidden="false" customHeight="false" outlineLevel="0" collapsed="false">
      <c r="A197" s="2" t="n">
        <v>2012</v>
      </c>
      <c r="B197" s="2" t="s">
        <v>79</v>
      </c>
      <c r="C197" s="4" t="str">
        <f aca="false">IFERROR(VLOOKUP($B197,Ref_Continente!$A:$B,2,FALSE()),"Sin clasificar")</f>
        <v>Oceania</v>
      </c>
      <c r="D197" s="5" t="n">
        <v>19235</v>
      </c>
      <c r="E197" s="6" t="n">
        <v>7131</v>
      </c>
      <c r="F197" s="6" t="n">
        <v>10800</v>
      </c>
      <c r="G197" s="5" t="n">
        <v>176560711239.15</v>
      </c>
      <c r="H197" s="4" t="n">
        <f aca="false">IFERROR(IF(AND(VLOOKUP($B197,Ref_Acuerdos!$A:$E,2,FALSE())="FTA",$A197&gt;=VLOOKUP($B197,Ref_Acuerdos!$A:$E,3,FALSE())),1,0),0)</f>
        <v>0</v>
      </c>
      <c r="I197" s="4" t="n">
        <f aca="false">IFERROR(IF(AND(VLOOKUP($B197,Ref_Acuerdos!$A:$E,2,FALSE())="PTA",$A197&gt;=VLOOKUP($B197,Ref_Acuerdos!$A:$E,3,FALSE())),1,0),0)</f>
        <v>0</v>
      </c>
      <c r="J197" s="7" t="str">
        <f aca="false">IFERROR(IF($A197&gt;=VLOOKUP($B197,Ref_Acuerdos!$A:$E,3,FALSE()),VLOOKUP($B197,Ref_Acuerdos!$A:$E,4,FALSE()),""),"")</f>
        <v/>
      </c>
      <c r="K197" s="4" t="str">
        <f aca="false">IFERROR(IF($A197&gt;=VLOOKUP($B197,Ref_Acuerdos!$A:$E,3,FALSE()),VLOOKUP($B197,Ref_Acuerdos!$A:$E,5,FALSE()),"Sin FTA/PTA vigente ese año - arancel NMF"),"Sin FTA/PTA identificado - arancel NMF")</f>
        <v>Sin FTA/PTA identificado - arancel NMF</v>
      </c>
    </row>
    <row r="198" customFormat="false" ht="15" hidden="false" customHeight="false" outlineLevel="0" collapsed="false">
      <c r="A198" s="2" t="n">
        <v>2012</v>
      </c>
      <c r="B198" s="2" t="s">
        <v>64</v>
      </c>
      <c r="C198" s="4" t="str">
        <f aca="false">IFERROR(VLOOKUP($B198,Ref_Continente!$A:$B,2,FALSE()),"Sin clasificar")</f>
        <v>Asia</v>
      </c>
      <c r="D198" s="5" t="n">
        <v>14624</v>
      </c>
      <c r="E198" s="6" t="n">
        <v>3365</v>
      </c>
      <c r="F198" s="6" t="n">
        <v>13500</v>
      </c>
      <c r="G198" s="5" t="n">
        <v>174047662680.04</v>
      </c>
      <c r="H198" s="4" t="n">
        <f aca="false">IFERROR(IF(AND(VLOOKUP($B198,Ref_Acuerdos!$A:$E,2,FALSE())="FTA",$A198&gt;=VLOOKUP($B198,Ref_Acuerdos!$A:$E,3,FALSE())),1,0),0)</f>
        <v>0</v>
      </c>
      <c r="I198" s="4" t="n">
        <f aca="false">IFERROR(IF(AND(VLOOKUP($B198,Ref_Acuerdos!$A:$E,2,FALSE())="PTA",$A198&gt;=VLOOKUP($B198,Ref_Acuerdos!$A:$E,3,FALSE())),1,0),0)</f>
        <v>0</v>
      </c>
      <c r="J198" s="7" t="str">
        <f aca="false">IFERROR(IF($A198&gt;=VLOOKUP($B198,Ref_Acuerdos!$A:$E,3,FALSE()),VLOOKUP($B198,Ref_Acuerdos!$A:$E,4,FALSE()),""),"")</f>
        <v/>
      </c>
      <c r="K198" s="4" t="str">
        <f aca="false">IFERROR(IF($A198&gt;=VLOOKUP($B198,Ref_Acuerdos!$A:$E,3,FALSE()),VLOOKUP($B198,Ref_Acuerdos!$A:$E,5,FALSE()),"Sin FTA/PTA vigente ese año - arancel NMF"),"Sin FTA/PTA identificado - arancel NMF")</f>
        <v>Sin FTA/PTA identificado - arancel NMF</v>
      </c>
    </row>
    <row r="199" customFormat="false" ht="15" hidden="false" customHeight="false" outlineLevel="0" collapsed="false">
      <c r="A199" s="2" t="n">
        <v>2012</v>
      </c>
      <c r="B199" s="2" t="s">
        <v>107</v>
      </c>
      <c r="C199" s="4" t="str">
        <f aca="false">IFERROR(VLOOKUP($B199,Ref_Continente!$A:$B,2,FALSE()),"Sin clasificar")</f>
        <v>Europe</v>
      </c>
      <c r="D199" s="5" t="n">
        <v>13585</v>
      </c>
      <c r="E199" s="6" t="n">
        <v>1587</v>
      </c>
      <c r="F199" s="6" t="n">
        <v>10000</v>
      </c>
      <c r="G199" s="5" t="n">
        <v>549739674655.13</v>
      </c>
      <c r="H199" s="4" t="n">
        <f aca="false">IFERROR(IF(AND(VLOOKUP($B199,Ref_Acuerdos!$A:$E,2,FALSE())="FTA",$A199&gt;=VLOOKUP($B199,Ref_Acuerdos!$A:$E,3,FALSE())),1,0),0)</f>
        <v>0</v>
      </c>
      <c r="I199" s="4" t="n">
        <f aca="false">IFERROR(IF(AND(VLOOKUP($B199,Ref_Acuerdos!$A:$E,2,FALSE())="PTA",$A199&gt;=VLOOKUP($B199,Ref_Acuerdos!$A:$E,3,FALSE())),1,0),0)</f>
        <v>0</v>
      </c>
      <c r="J199" s="7" t="str">
        <f aca="false">IFERROR(IF($A199&gt;=VLOOKUP($B199,Ref_Acuerdos!$A:$E,3,FALSE()),VLOOKUP($B199,Ref_Acuerdos!$A:$E,4,FALSE()),""),"")</f>
        <v/>
      </c>
      <c r="K199" s="4" t="str">
        <f aca="false">IFERROR(IF($A199&gt;=VLOOKUP($B199,Ref_Acuerdos!$A:$E,3,FALSE()),VLOOKUP($B199,Ref_Acuerdos!$A:$E,5,FALSE()),"Sin FTA/PTA vigente ese año - arancel NMF"),"Sin FTA/PTA identificado - arancel NMF")</f>
        <v>Sin FTA/PTA vigente ese año - arancel NMF</v>
      </c>
    </row>
    <row r="200" customFormat="false" ht="15" hidden="false" customHeight="false" outlineLevel="0" collapsed="false">
      <c r="A200" s="2" t="n">
        <v>2012</v>
      </c>
      <c r="B200" s="2" t="s">
        <v>37</v>
      </c>
      <c r="C200" s="4" t="str">
        <f aca="false">IFERROR(VLOOKUP($B200,Ref_Continente!$A:$B,2,FALSE()),"Sin clasificar")</f>
        <v>North America</v>
      </c>
      <c r="D200" s="5" t="n">
        <v>11215</v>
      </c>
      <c r="E200" s="6" t="n">
        <v>3237</v>
      </c>
      <c r="F200" s="6" t="n">
        <v>2200</v>
      </c>
      <c r="G200" s="5" t="n">
        <v>60561635555.64</v>
      </c>
      <c r="H200" s="4" t="n">
        <f aca="false">IFERROR(IF(AND(VLOOKUP($B200,Ref_Acuerdos!$A:$E,2,FALSE())="FTA",$A200&gt;=VLOOKUP($B200,Ref_Acuerdos!$A:$E,3,FALSE())),1,0),0)</f>
        <v>0</v>
      </c>
      <c r="I200" s="4" t="n">
        <f aca="false">IFERROR(IF(AND(VLOOKUP($B200,Ref_Acuerdos!$A:$E,2,FALSE())="PTA",$A200&gt;=VLOOKUP($B200,Ref_Acuerdos!$A:$E,3,FALSE())),1,0),0)</f>
        <v>0</v>
      </c>
      <c r="J200" s="7" t="str">
        <f aca="false">IFERROR(IF($A200&gt;=VLOOKUP($B200,Ref_Acuerdos!$A:$E,3,FALSE()),VLOOKUP($B200,Ref_Acuerdos!$A:$E,4,FALSE()),""),"")</f>
        <v/>
      </c>
      <c r="K200" s="4" t="str">
        <f aca="false">IFERROR(IF($A200&gt;=VLOOKUP($B200,Ref_Acuerdos!$A:$E,3,FALSE()),VLOOKUP($B200,Ref_Acuerdos!$A:$E,5,FALSE()),"Sin FTA/PTA vigente ese año - arancel NMF"),"Sin FTA/PTA identificado - arancel NMF")</f>
        <v>Sin FTA/PTA identificado - arancel NMF</v>
      </c>
    </row>
    <row r="201" customFormat="false" ht="15" hidden="false" customHeight="false" outlineLevel="0" collapsed="false">
      <c r="A201" s="2" t="n">
        <v>2012</v>
      </c>
      <c r="B201" s="2" t="s">
        <v>94</v>
      </c>
      <c r="C201" s="4" t="str">
        <f aca="false">IFERROR(VLOOKUP($B201,Ref_Continente!$A:$B,2,FALSE()),"Sin clasificar")</f>
        <v>Europe</v>
      </c>
      <c r="D201" s="5" t="n">
        <v>10386</v>
      </c>
      <c r="E201" s="6" t="n">
        <v>3979</v>
      </c>
      <c r="F201" s="6" t="n">
        <v>11000</v>
      </c>
      <c r="G201" s="5" t="n">
        <v>8709138634.83</v>
      </c>
      <c r="H201" s="4" t="n">
        <f aca="false">IFERROR(IF(AND(VLOOKUP($B201,Ref_Acuerdos!$A:$E,2,FALSE())="FTA",$A201&gt;=VLOOKUP($B201,Ref_Acuerdos!$A:$E,3,FALSE())),1,0),0)</f>
        <v>0</v>
      </c>
      <c r="I201" s="4" t="n">
        <f aca="false">IFERROR(IF(AND(VLOOKUP($B201,Ref_Acuerdos!$A:$E,2,FALSE())="PTA",$A201&gt;=VLOOKUP($B201,Ref_Acuerdos!$A:$E,3,FALSE())),1,0),0)</f>
        <v>0</v>
      </c>
      <c r="J201" s="7" t="str">
        <f aca="false">IFERROR(IF($A201&gt;=VLOOKUP($B201,Ref_Acuerdos!$A:$E,3,FALSE()),VLOOKUP($B201,Ref_Acuerdos!$A:$E,4,FALSE()),""),"")</f>
        <v/>
      </c>
      <c r="K201" s="4" t="str">
        <f aca="false">IFERROR(IF($A201&gt;=VLOOKUP($B201,Ref_Acuerdos!$A:$E,3,FALSE()),VLOOKUP($B201,Ref_Acuerdos!$A:$E,5,FALSE()),"Sin FTA/PTA vigente ese año - arancel NMF"),"Sin FTA/PTA identificado - arancel NMF")</f>
        <v>Sin FTA/PTA identificado - arancel NMF</v>
      </c>
    </row>
    <row r="202" customFormat="false" ht="15" hidden="false" customHeight="false" outlineLevel="0" collapsed="false">
      <c r="A202" s="2" t="n">
        <v>2012</v>
      </c>
      <c r="B202" s="2" t="s">
        <v>66</v>
      </c>
      <c r="C202" s="4" t="str">
        <f aca="false">IFERROR(VLOOKUP($B202,Ref_Continente!$A:$B,2,FALSE()),"Sin clasificar")</f>
        <v>Europe</v>
      </c>
      <c r="D202" s="5" t="n">
        <v>10102</v>
      </c>
      <c r="E202" s="6" t="n">
        <v>1388</v>
      </c>
      <c r="F202" s="6" t="n">
        <v>10400</v>
      </c>
      <c r="G202" s="5" t="n">
        <v>27116149948.67</v>
      </c>
      <c r="H202" s="4" t="n">
        <f aca="false">IFERROR(IF(AND(VLOOKUP($B202,Ref_Acuerdos!$A:$E,2,FALSE())="FTA",$A202&gt;=VLOOKUP($B202,Ref_Acuerdos!$A:$E,3,FALSE())),1,0),0)</f>
        <v>0</v>
      </c>
      <c r="I202" s="4" t="n">
        <f aca="false">IFERROR(IF(AND(VLOOKUP($B202,Ref_Acuerdos!$A:$E,2,FALSE())="PTA",$A202&gt;=VLOOKUP($B202,Ref_Acuerdos!$A:$E,3,FALSE())),1,0),0)</f>
        <v>0</v>
      </c>
      <c r="J202" s="7" t="str">
        <f aca="false">IFERROR(IF($A202&gt;=VLOOKUP($B202,Ref_Acuerdos!$A:$E,3,FALSE()),VLOOKUP($B202,Ref_Acuerdos!$A:$E,4,FALSE()),""),"")</f>
        <v/>
      </c>
      <c r="K202" s="4" t="str">
        <f aca="false">IFERROR(IF($A202&gt;=VLOOKUP($B202,Ref_Acuerdos!$A:$E,3,FALSE()),VLOOKUP($B202,Ref_Acuerdos!$A:$E,5,FALSE()),"Sin FTA/PTA vigente ese año - arancel NMF"),"Sin FTA/PTA identificado - arancel NMF")</f>
        <v>Sin FTA/PTA vigente ese año - arancel NMF</v>
      </c>
    </row>
    <row r="203" customFormat="false" ht="15" hidden="false" customHeight="false" outlineLevel="0" collapsed="false">
      <c r="A203" s="2" t="n">
        <v>2012</v>
      </c>
      <c r="B203" s="2" t="s">
        <v>42</v>
      </c>
      <c r="C203" s="4" t="str">
        <f aca="false">IFERROR(VLOOKUP($B203,Ref_Continente!$A:$B,2,FALSE()),"Sin clasificar")</f>
        <v>Europe</v>
      </c>
      <c r="D203" s="5" t="n">
        <v>9250</v>
      </c>
      <c r="E203" s="6" t="n">
        <v>2134</v>
      </c>
      <c r="F203" s="6" t="n">
        <v>9150</v>
      </c>
      <c r="G203" s="5" t="n">
        <v>2683007095787.23</v>
      </c>
      <c r="H203" s="4" t="n">
        <f aca="false">IFERROR(IF(AND(VLOOKUP($B203,Ref_Acuerdos!$A:$E,2,FALSE())="FTA",$A203&gt;=VLOOKUP($B203,Ref_Acuerdos!$A:$E,3,FALSE())),1,0),0)</f>
        <v>0</v>
      </c>
      <c r="I203" s="4" t="n">
        <f aca="false">IFERROR(IF(AND(VLOOKUP($B203,Ref_Acuerdos!$A:$E,2,FALSE())="PTA",$A203&gt;=VLOOKUP($B203,Ref_Acuerdos!$A:$E,3,FALSE())),1,0),0)</f>
        <v>0</v>
      </c>
      <c r="J203" s="7" t="str">
        <f aca="false">IFERROR(IF($A203&gt;=VLOOKUP($B203,Ref_Acuerdos!$A:$E,3,FALSE()),VLOOKUP($B203,Ref_Acuerdos!$A:$E,4,FALSE()),""),"")</f>
        <v/>
      </c>
      <c r="K203" s="4" t="str">
        <f aca="false">IFERROR(IF($A203&gt;=VLOOKUP($B203,Ref_Acuerdos!$A:$E,3,FALSE()),VLOOKUP($B203,Ref_Acuerdos!$A:$E,5,FALSE()),"Sin FTA/PTA vigente ese año - arancel NMF"),"Sin FTA/PTA identificado - arancel NMF")</f>
        <v>Sin FTA/PTA vigente ese año - arancel NMF</v>
      </c>
    </row>
    <row r="204" customFormat="false" ht="15" hidden="false" customHeight="false" outlineLevel="0" collapsed="false">
      <c r="A204" s="2" t="n">
        <v>2012</v>
      </c>
      <c r="B204" s="2" t="s">
        <v>80</v>
      </c>
      <c r="C204" s="4" t="str">
        <f aca="false">IFERROR(VLOOKUP($B204,Ref_Continente!$A:$B,2,FALSE()),"Sin clasificar")</f>
        <v>North America</v>
      </c>
      <c r="D204" s="5" t="n">
        <v>8573</v>
      </c>
      <c r="E204" s="6" t="n">
        <v>2796</v>
      </c>
      <c r="F204" s="6" t="n">
        <v>1730</v>
      </c>
      <c r="G204" s="5" t="n">
        <v>10532017231.83</v>
      </c>
      <c r="H204" s="4" t="n">
        <f aca="false">IFERROR(IF(AND(VLOOKUP($B204,Ref_Acuerdos!$A:$E,2,FALSE())="FTA",$A204&gt;=VLOOKUP($B204,Ref_Acuerdos!$A:$E,3,FALSE())),1,0),0)</f>
        <v>0</v>
      </c>
      <c r="I204" s="4" t="n">
        <f aca="false">IFERROR(IF(AND(VLOOKUP($B204,Ref_Acuerdos!$A:$E,2,FALSE())="PTA",$A204&gt;=VLOOKUP($B204,Ref_Acuerdos!$A:$E,3,FALSE())),1,0),0)</f>
        <v>1</v>
      </c>
      <c r="J204" s="7" t="n">
        <f aca="false">IFERROR(IF($A204&gt;=VLOOKUP($B204,Ref_Acuerdos!$A:$E,3,FALSE()),VLOOKUP($B204,Ref_Acuerdos!$A:$E,4,FALSE()),""),"")</f>
        <v>10</v>
      </c>
      <c r="K204" s="4" t="str">
        <f aca="false">IFERROR(IF($A204&gt;=VLOOKUP($B204,Ref_Acuerdos!$A:$E,3,FALSE()),VLOOKUP($B204,Ref_Acuerdos!$A:$E,5,FALSE()),"Sin FTA/PTA vigente ese año - arancel NMF"),"Sin FTA/PTA identificado - arancel NMF")</f>
        <v>ALADI - Acuerdo de Alcance Parcial (preferencia limitada, tarifa referencial)</v>
      </c>
    </row>
    <row r="205" customFormat="false" ht="15" hidden="false" customHeight="false" outlineLevel="0" collapsed="false">
      <c r="A205" s="2" t="n">
        <v>2012</v>
      </c>
      <c r="B205" s="2" t="s">
        <v>14</v>
      </c>
      <c r="C205" s="4" t="str">
        <f aca="false">IFERROR(VLOOKUP($B205,Ref_Continente!$A:$B,2,FALSE()),"Sin clasificar")</f>
        <v>Europe</v>
      </c>
      <c r="D205" s="5" t="n">
        <v>7283</v>
      </c>
      <c r="E205" s="6" t="n">
        <v>155</v>
      </c>
      <c r="F205" s="6" t="n">
        <v>10050</v>
      </c>
      <c r="G205" s="5" t="n">
        <v>406750487603.59</v>
      </c>
      <c r="H205" s="4" t="n">
        <f aca="false">IFERROR(IF(AND(VLOOKUP($B205,Ref_Acuerdos!$A:$E,2,FALSE())="FTA",$A205&gt;=VLOOKUP($B205,Ref_Acuerdos!$A:$E,3,FALSE())),1,0),0)</f>
        <v>0</v>
      </c>
      <c r="I205" s="4" t="n">
        <f aca="false">IFERROR(IF(AND(VLOOKUP($B205,Ref_Acuerdos!$A:$E,2,FALSE())="PTA",$A205&gt;=VLOOKUP($B205,Ref_Acuerdos!$A:$E,3,FALSE())),1,0),0)</f>
        <v>0</v>
      </c>
      <c r="J205" s="7" t="str">
        <f aca="false">IFERROR(IF($A205&gt;=VLOOKUP($B205,Ref_Acuerdos!$A:$E,3,FALSE()),VLOOKUP($B205,Ref_Acuerdos!$A:$E,4,FALSE()),""),"")</f>
        <v/>
      </c>
      <c r="K205" s="4" t="str">
        <f aca="false">IFERROR(IF($A205&gt;=VLOOKUP($B205,Ref_Acuerdos!$A:$E,3,FALSE()),VLOOKUP($B205,Ref_Acuerdos!$A:$E,5,FALSE()),"Sin FTA/PTA vigente ese año - arancel NMF"),"Sin FTA/PTA identificado - arancel NMF")</f>
        <v>Sin FTA/PTA vigente ese año - arancel NMF</v>
      </c>
    </row>
    <row r="206" customFormat="false" ht="15" hidden="false" customHeight="false" outlineLevel="0" collapsed="false">
      <c r="A206" s="2" t="n">
        <v>2012</v>
      </c>
      <c r="B206" s="2" t="s">
        <v>111</v>
      </c>
      <c r="C206" s="4" t="str">
        <f aca="false">IFERROR(VLOOKUP($B206,Ref_Continente!$A:$B,2,FALSE()),"Sin clasificar")</f>
        <v>North America</v>
      </c>
      <c r="D206" s="5" t="n">
        <v>6413</v>
      </c>
      <c r="E206" s="6" t="n">
        <v>1156</v>
      </c>
      <c r="F206" s="6" t="n">
        <v>2530</v>
      </c>
      <c r="G206" s="5" t="n">
        <v>27147349937.47</v>
      </c>
      <c r="H206" s="4" t="n">
        <f aca="false">IFERROR(IF(AND(VLOOKUP($B206,Ref_Acuerdos!$A:$E,2,FALSE())="FTA",$A206&gt;=VLOOKUP($B206,Ref_Acuerdos!$A:$E,3,FALSE())),1,0),0)</f>
        <v>0</v>
      </c>
      <c r="I206" s="4" t="n">
        <f aca="false">IFERROR(IF(AND(VLOOKUP($B206,Ref_Acuerdos!$A:$E,2,FALSE())="PTA",$A206&gt;=VLOOKUP($B206,Ref_Acuerdos!$A:$E,3,FALSE())),1,0),0)</f>
        <v>0</v>
      </c>
      <c r="J206" s="7" t="str">
        <f aca="false">IFERROR(IF($A206&gt;=VLOOKUP($B206,Ref_Acuerdos!$A:$E,3,FALSE()),VLOOKUP($B206,Ref_Acuerdos!$A:$E,4,FALSE()),""),"")</f>
        <v/>
      </c>
      <c r="K206" s="4" t="str">
        <f aca="false">IFERROR(IF($A206&gt;=VLOOKUP($B206,Ref_Acuerdos!$A:$E,3,FALSE()),VLOOKUP($B206,Ref_Acuerdos!$A:$E,5,FALSE()),"Sin FTA/PTA vigente ese año - arancel NMF"),"Sin FTA/PTA identificado - arancel NMF")</f>
        <v>Sin FTA/PTA identificado - arancel NMF</v>
      </c>
    </row>
    <row r="207" customFormat="false" ht="15" hidden="false" customHeight="false" outlineLevel="0" collapsed="false">
      <c r="A207" s="2" t="n">
        <v>2012</v>
      </c>
      <c r="B207" s="2" t="s">
        <v>85</v>
      </c>
      <c r="C207" s="4" t="str">
        <f aca="false">IFERROR(VLOOKUP($B207,Ref_Continente!$A:$B,2,FALSE()),"Sin clasificar")</f>
        <v>Asia</v>
      </c>
      <c r="D207" s="5" t="n">
        <v>5872</v>
      </c>
      <c r="E207" s="6" t="n">
        <v>957</v>
      </c>
      <c r="F207" s="6" t="n">
        <v>0</v>
      </c>
      <c r="G207" s="5"/>
      <c r="H207" s="4" t="n">
        <f aca="false">IFERROR(IF(AND(VLOOKUP($B207,Ref_Acuerdos!$A:$E,2,FALSE())="FTA",$A207&gt;=VLOOKUP($B207,Ref_Acuerdos!$A:$E,3,FALSE())),1,0),0)</f>
        <v>0</v>
      </c>
      <c r="I207" s="4" t="n">
        <f aca="false">IFERROR(IF(AND(VLOOKUP($B207,Ref_Acuerdos!$A:$E,2,FALSE())="PTA",$A207&gt;=VLOOKUP($B207,Ref_Acuerdos!$A:$E,3,FALSE())),1,0),0)</f>
        <v>0</v>
      </c>
      <c r="J207" s="7" t="str">
        <f aca="false">IFERROR(IF($A207&gt;=VLOOKUP($B207,Ref_Acuerdos!$A:$E,3,FALSE()),VLOOKUP($B207,Ref_Acuerdos!$A:$E,4,FALSE()),""),"")</f>
        <v/>
      </c>
      <c r="K207" s="4" t="str">
        <f aca="false">IFERROR(IF($A207&gt;=VLOOKUP($B207,Ref_Acuerdos!$A:$E,3,FALSE()),VLOOKUP($B207,Ref_Acuerdos!$A:$E,5,FALSE()),"Sin FTA/PTA vigente ese año - arancel NMF"),"Sin FTA/PTA identificado - arancel NMF")</f>
        <v>Sin FTA/PTA identificado - arancel NMF</v>
      </c>
    </row>
    <row r="208" customFormat="false" ht="15" hidden="false" customHeight="false" outlineLevel="0" collapsed="false">
      <c r="A208" s="2" t="n">
        <v>2012</v>
      </c>
      <c r="B208" s="2" t="s">
        <v>71</v>
      </c>
      <c r="C208" s="4" t="str">
        <f aca="false">IFERROR(VLOOKUP($B208,Ref_Continente!$A:$B,2,FALSE()),"Sin clasificar")</f>
        <v>Asia</v>
      </c>
      <c r="D208" s="5" t="n">
        <v>4782</v>
      </c>
      <c r="E208" s="6" t="n">
        <v>713</v>
      </c>
      <c r="F208" s="6" t="n">
        <v>17100</v>
      </c>
      <c r="G208" s="5" t="n">
        <v>2886163997.21</v>
      </c>
      <c r="H208" s="4" t="n">
        <f aca="false">IFERROR(IF(AND(VLOOKUP($B208,Ref_Acuerdos!$A:$E,2,FALSE())="FTA",$A208&gt;=VLOOKUP($B208,Ref_Acuerdos!$A:$E,3,FALSE())),1,0),0)</f>
        <v>0</v>
      </c>
      <c r="I208" s="4" t="n">
        <f aca="false">IFERROR(IF(AND(VLOOKUP($B208,Ref_Acuerdos!$A:$E,2,FALSE())="PTA",$A208&gt;=VLOOKUP($B208,Ref_Acuerdos!$A:$E,3,FALSE())),1,0),0)</f>
        <v>0</v>
      </c>
      <c r="J208" s="7" t="str">
        <f aca="false">IFERROR(IF($A208&gt;=VLOOKUP($B208,Ref_Acuerdos!$A:$E,3,FALSE()),VLOOKUP($B208,Ref_Acuerdos!$A:$E,4,FALSE()),""),"")</f>
        <v/>
      </c>
      <c r="K208" s="4" t="str">
        <f aca="false">IFERROR(IF($A208&gt;=VLOOKUP($B208,Ref_Acuerdos!$A:$E,3,FALSE()),VLOOKUP($B208,Ref_Acuerdos!$A:$E,5,FALSE()),"Sin FTA/PTA vigente ese año - arancel NMF"),"Sin FTA/PTA identificado - arancel NMF")</f>
        <v>Sin FTA/PTA identificado - arancel NMF</v>
      </c>
    </row>
    <row r="209" customFormat="false" ht="15" hidden="false" customHeight="false" outlineLevel="0" collapsed="false">
      <c r="A209" s="2" t="n">
        <v>2012</v>
      </c>
      <c r="B209" s="2" t="s">
        <v>44</v>
      </c>
      <c r="C209" s="4" t="str">
        <f aca="false">IFERROR(VLOOKUP($B209,Ref_Continente!$A:$B,2,FALSE()),"Sin clasificar")</f>
        <v>Asia</v>
      </c>
      <c r="D209" s="5" t="n">
        <v>4709</v>
      </c>
      <c r="E209" s="6" t="n">
        <v>1081</v>
      </c>
      <c r="F209" s="6" t="n">
        <v>11600</v>
      </c>
      <c r="G209" s="5" t="n">
        <v>16894392033.23</v>
      </c>
      <c r="H209" s="4" t="n">
        <f aca="false">IFERROR(IF(AND(VLOOKUP($B209,Ref_Acuerdos!$A:$E,2,FALSE())="FTA",$A209&gt;=VLOOKUP($B209,Ref_Acuerdos!$A:$E,3,FALSE())),1,0),0)</f>
        <v>0</v>
      </c>
      <c r="I209" s="4" t="n">
        <f aca="false">IFERROR(IF(AND(VLOOKUP($B209,Ref_Acuerdos!$A:$E,2,FALSE())="PTA",$A209&gt;=VLOOKUP($B209,Ref_Acuerdos!$A:$E,3,FALSE())),1,0),0)</f>
        <v>0</v>
      </c>
      <c r="J209" s="7" t="str">
        <f aca="false">IFERROR(IF($A209&gt;=VLOOKUP($B209,Ref_Acuerdos!$A:$E,3,FALSE()),VLOOKUP($B209,Ref_Acuerdos!$A:$E,4,FALSE()),""),"")</f>
        <v/>
      </c>
      <c r="K209" s="4" t="str">
        <f aca="false">IFERROR(IF($A209&gt;=VLOOKUP($B209,Ref_Acuerdos!$A:$E,3,FALSE()),VLOOKUP($B209,Ref_Acuerdos!$A:$E,5,FALSE()),"Sin FTA/PTA vigente ese año - arancel NMF"),"Sin FTA/PTA identificado - arancel NMF")</f>
        <v>Sin FTA/PTA identificado - arancel NMF</v>
      </c>
    </row>
    <row r="210" customFormat="false" ht="15" hidden="false" customHeight="false" outlineLevel="0" collapsed="false">
      <c r="A210" s="2" t="n">
        <v>2012</v>
      </c>
      <c r="B210" s="2" t="s">
        <v>16</v>
      </c>
      <c r="C210" s="4" t="str">
        <f aca="false">IFERROR(VLOOKUP($B210,Ref_Continente!$A:$B,2,FALSE()),"Sin clasificar")</f>
        <v>Asia</v>
      </c>
      <c r="D210" s="5" t="n">
        <v>4513</v>
      </c>
      <c r="E210" s="6" t="n">
        <v>2299</v>
      </c>
      <c r="F210" s="6" t="n">
        <v>13100</v>
      </c>
      <c r="G210" s="5" t="n">
        <v>69679944504.2</v>
      </c>
      <c r="H210" s="4" t="n">
        <f aca="false">IFERROR(IF(AND(VLOOKUP($B210,Ref_Acuerdos!$A:$E,2,FALSE())="FTA",$A210&gt;=VLOOKUP($B210,Ref_Acuerdos!$A:$E,3,FALSE())),1,0),0)</f>
        <v>0</v>
      </c>
      <c r="I210" s="4" t="n">
        <f aca="false">IFERROR(IF(AND(VLOOKUP($B210,Ref_Acuerdos!$A:$E,2,FALSE())="PTA",$A210&gt;=VLOOKUP($B210,Ref_Acuerdos!$A:$E,3,FALSE())),1,0),0)</f>
        <v>0</v>
      </c>
      <c r="J210" s="7" t="str">
        <f aca="false">IFERROR(IF($A210&gt;=VLOOKUP($B210,Ref_Acuerdos!$A:$E,3,FALSE()),VLOOKUP($B210,Ref_Acuerdos!$A:$E,4,FALSE()),""),"")</f>
        <v/>
      </c>
      <c r="K210" s="4" t="str">
        <f aca="false">IFERROR(IF($A210&gt;=VLOOKUP($B210,Ref_Acuerdos!$A:$E,3,FALSE()),VLOOKUP($B210,Ref_Acuerdos!$A:$E,5,FALSE()),"Sin FTA/PTA vigente ese año - arancel NMF"),"Sin FTA/PTA identificado - arancel NMF")</f>
        <v>Sin FTA/PTA identificado - arancel NMF</v>
      </c>
    </row>
    <row r="211" customFormat="false" ht="15" hidden="false" customHeight="false" outlineLevel="0" collapsed="false">
      <c r="A211" s="2" t="n">
        <v>2012</v>
      </c>
      <c r="B211" s="2" t="s">
        <v>18</v>
      </c>
      <c r="C211" s="4" t="str">
        <f aca="false">IFERROR(VLOOKUP($B211,Ref_Continente!$A:$B,2,FALSE()),"Sin clasificar")</f>
        <v>Asia</v>
      </c>
      <c r="D211" s="5" t="n">
        <v>4202</v>
      </c>
      <c r="E211" s="6" t="n">
        <v>651</v>
      </c>
      <c r="F211" s="6" t="n">
        <v>13800</v>
      </c>
      <c r="G211" s="5" t="n">
        <v>31963404255.32</v>
      </c>
      <c r="H211" s="4" t="n">
        <f aca="false">IFERROR(IF(AND(VLOOKUP($B211,Ref_Acuerdos!$A:$E,2,FALSE())="FTA",$A211&gt;=VLOOKUP($B211,Ref_Acuerdos!$A:$E,3,FALSE())),1,0),0)</f>
        <v>0</v>
      </c>
      <c r="I211" s="4" t="n">
        <f aca="false">IFERROR(IF(AND(VLOOKUP($B211,Ref_Acuerdos!$A:$E,2,FALSE())="PTA",$A211&gt;=VLOOKUP($B211,Ref_Acuerdos!$A:$E,3,FALSE())),1,0),0)</f>
        <v>0</v>
      </c>
      <c r="J211" s="7" t="str">
        <f aca="false">IFERROR(IF($A211&gt;=VLOOKUP($B211,Ref_Acuerdos!$A:$E,3,FALSE()),VLOOKUP($B211,Ref_Acuerdos!$A:$E,4,FALSE()),""),"")</f>
        <v/>
      </c>
      <c r="K211" s="4" t="str">
        <f aca="false">IFERROR(IF($A211&gt;=VLOOKUP($B211,Ref_Acuerdos!$A:$E,3,FALSE()),VLOOKUP($B211,Ref_Acuerdos!$A:$E,5,FALSE()),"Sin FTA/PTA vigente ese año - arancel NMF"),"Sin FTA/PTA identificado - arancel NMF")</f>
        <v>Sin FTA/PTA identificado - arancel NMF</v>
      </c>
    </row>
    <row r="212" customFormat="false" ht="15" hidden="false" customHeight="false" outlineLevel="0" collapsed="false">
      <c r="A212" s="2" t="n">
        <v>2012</v>
      </c>
      <c r="B212" s="2" t="s">
        <v>89</v>
      </c>
      <c r="C212" s="4" t="str">
        <f aca="false">IFERROR(VLOOKUP($B212,Ref_Continente!$A:$B,2,FALSE()),"Sin clasificar")</f>
        <v>Asia</v>
      </c>
      <c r="D212" s="5" t="n">
        <v>4167</v>
      </c>
      <c r="E212" s="6" t="n">
        <v>1897</v>
      </c>
      <c r="F212" s="6" t="n">
        <v>17800</v>
      </c>
      <c r="G212" s="5" t="n">
        <v>261920540962.63</v>
      </c>
      <c r="H212" s="4" t="n">
        <f aca="false">IFERROR(IF(AND(VLOOKUP($B212,Ref_Acuerdos!$A:$E,2,FALSE())="FTA",$A212&gt;=VLOOKUP($B212,Ref_Acuerdos!$A:$E,3,FALSE())),1,0),0)</f>
        <v>0</v>
      </c>
      <c r="I212" s="4" t="n">
        <f aca="false">IFERROR(IF(AND(VLOOKUP($B212,Ref_Acuerdos!$A:$E,2,FALSE())="PTA",$A212&gt;=VLOOKUP($B212,Ref_Acuerdos!$A:$E,3,FALSE())),1,0),0)</f>
        <v>0</v>
      </c>
      <c r="J212" s="7" t="str">
        <f aca="false">IFERROR(IF($A212&gt;=VLOOKUP($B212,Ref_Acuerdos!$A:$E,3,FALSE()),VLOOKUP($B212,Ref_Acuerdos!$A:$E,4,FALSE()),""),"")</f>
        <v/>
      </c>
      <c r="K212" s="4" t="str">
        <f aca="false">IFERROR(IF($A212&gt;=VLOOKUP($B212,Ref_Acuerdos!$A:$E,3,FALSE()),VLOOKUP($B212,Ref_Acuerdos!$A:$E,5,FALSE()),"Sin FTA/PTA vigente ese año - arancel NMF"),"Sin FTA/PTA identificado - arancel NMF")</f>
        <v>Sin FTA/PTA identificado - arancel NMF</v>
      </c>
    </row>
    <row r="213" customFormat="false" ht="15" hidden="false" customHeight="false" outlineLevel="0" collapsed="false">
      <c r="A213" s="2" t="n">
        <v>2012</v>
      </c>
      <c r="B213" s="2" t="s">
        <v>83</v>
      </c>
      <c r="C213" s="4" t="str">
        <f aca="false">IFERROR(VLOOKUP($B213,Ref_Continente!$A:$B,2,FALSE()),"Sin clasificar")</f>
        <v>Europe</v>
      </c>
      <c r="D213" s="5" t="n">
        <v>2837</v>
      </c>
      <c r="E213" s="6" t="n">
        <v>556</v>
      </c>
      <c r="F213" s="6" t="n">
        <v>9980</v>
      </c>
      <c r="G213" s="5" t="n">
        <v>512777309841</v>
      </c>
      <c r="H213" s="4" t="n">
        <f aca="false">IFERROR(IF(AND(VLOOKUP($B213,Ref_Acuerdos!$A:$E,2,FALSE())="FTA",$A213&gt;=VLOOKUP($B213,Ref_Acuerdos!$A:$E,3,FALSE())),1,0),0)</f>
        <v>0</v>
      </c>
      <c r="I213" s="4" t="n">
        <f aca="false">IFERROR(IF(AND(VLOOKUP($B213,Ref_Acuerdos!$A:$E,2,FALSE())="PTA",$A213&gt;=VLOOKUP($B213,Ref_Acuerdos!$A:$E,3,FALSE())),1,0),0)</f>
        <v>0</v>
      </c>
      <c r="J213" s="7" t="str">
        <f aca="false">IFERROR(IF($A213&gt;=VLOOKUP($B213,Ref_Acuerdos!$A:$E,3,FALSE()),VLOOKUP($B213,Ref_Acuerdos!$A:$E,4,FALSE()),""),"")</f>
        <v/>
      </c>
      <c r="K213" s="4" t="str">
        <f aca="false">IFERROR(IF($A213&gt;=VLOOKUP($B213,Ref_Acuerdos!$A:$E,3,FALSE()),VLOOKUP($B213,Ref_Acuerdos!$A:$E,5,FALSE()),"Sin FTA/PTA vigente ese año - arancel NMF"),"Sin FTA/PTA identificado - arancel NMF")</f>
        <v>Sin FTA/PTA vigente ese año - arancel NMF</v>
      </c>
    </row>
    <row r="214" customFormat="false" ht="15" hidden="false" customHeight="false" outlineLevel="0" collapsed="false">
      <c r="A214" s="2" t="n">
        <v>2012</v>
      </c>
      <c r="B214" s="2" t="s">
        <v>12</v>
      </c>
      <c r="C214" s="4" t="str">
        <f aca="false">IFERROR(VLOOKUP($B214,Ref_Continente!$A:$B,2,FALSE()),"Sin clasificar")</f>
        <v>Oceania</v>
      </c>
      <c r="D214" s="5" t="n">
        <v>2598</v>
      </c>
      <c r="E214" s="6" t="n">
        <v>581</v>
      </c>
      <c r="F214" s="6" t="n">
        <v>14000</v>
      </c>
      <c r="G214" s="5" t="n">
        <v>1552728401401.58</v>
      </c>
      <c r="H214" s="4" t="n">
        <f aca="false">IFERROR(IF(AND(VLOOKUP($B214,Ref_Acuerdos!$A:$E,2,FALSE())="FTA",$A214&gt;=VLOOKUP($B214,Ref_Acuerdos!$A:$E,3,FALSE())),1,0),0)</f>
        <v>0</v>
      </c>
      <c r="I214" s="4" t="n">
        <f aca="false">IFERROR(IF(AND(VLOOKUP($B214,Ref_Acuerdos!$A:$E,2,FALSE())="PTA",$A214&gt;=VLOOKUP($B214,Ref_Acuerdos!$A:$E,3,FALSE())),1,0),0)</f>
        <v>0</v>
      </c>
      <c r="J214" s="7" t="str">
        <f aca="false">IFERROR(IF($A214&gt;=VLOOKUP($B214,Ref_Acuerdos!$A:$E,3,FALSE()),VLOOKUP($B214,Ref_Acuerdos!$A:$E,4,FALSE()),""),"")</f>
        <v/>
      </c>
      <c r="K214" s="4" t="str">
        <f aca="false">IFERROR(IF($A214&gt;=VLOOKUP($B214,Ref_Acuerdos!$A:$E,3,FALSE()),VLOOKUP($B214,Ref_Acuerdos!$A:$E,5,FALSE()),"Sin FTA/PTA vigente ese año - arancel NMF"),"Sin FTA/PTA identificado - arancel NMF")</f>
        <v>Sin FTA/PTA identificado - arancel NMF</v>
      </c>
    </row>
    <row r="215" customFormat="false" ht="15" hidden="false" customHeight="false" outlineLevel="0" collapsed="false">
      <c r="A215" s="2" t="n">
        <v>2012</v>
      </c>
      <c r="B215" s="2" t="s">
        <v>91</v>
      </c>
      <c r="C215" s="4" t="str">
        <f aca="false">IFERROR(VLOOKUP($B215,Ref_Continente!$A:$B,2,FALSE()),"Sin clasificar")</f>
        <v>Europe</v>
      </c>
      <c r="D215" s="5" t="n">
        <v>2200</v>
      </c>
      <c r="E215" s="6" t="n">
        <v>423</v>
      </c>
      <c r="F215" s="6" t="n">
        <v>8700</v>
      </c>
      <c r="G215" s="5" t="n">
        <v>216536676771.97</v>
      </c>
      <c r="H215" s="4" t="n">
        <f aca="false">IFERROR(IF(AND(VLOOKUP($B215,Ref_Acuerdos!$A:$E,2,FALSE())="FTA",$A215&gt;=VLOOKUP($B215,Ref_Acuerdos!$A:$E,3,FALSE())),1,0),0)</f>
        <v>0</v>
      </c>
      <c r="I215" s="4" t="n">
        <f aca="false">IFERROR(IF(AND(VLOOKUP($B215,Ref_Acuerdos!$A:$E,2,FALSE())="PTA",$A215&gt;=VLOOKUP($B215,Ref_Acuerdos!$A:$E,3,FALSE())),1,0),0)</f>
        <v>0</v>
      </c>
      <c r="J215" s="7" t="str">
        <f aca="false">IFERROR(IF($A215&gt;=VLOOKUP($B215,Ref_Acuerdos!$A:$E,3,FALSE()),VLOOKUP($B215,Ref_Acuerdos!$A:$E,4,FALSE()),""),"")</f>
        <v/>
      </c>
      <c r="K215" s="4" t="str">
        <f aca="false">IFERROR(IF($A215&gt;=VLOOKUP($B215,Ref_Acuerdos!$A:$E,3,FALSE()),VLOOKUP($B215,Ref_Acuerdos!$A:$E,5,FALSE()),"Sin FTA/PTA vigente ese año - arancel NMF"),"Sin FTA/PTA identificado - arancel NMF")</f>
        <v>Sin FTA/PTA vigente ese año - arancel NMF</v>
      </c>
    </row>
    <row r="216" customFormat="false" ht="15" hidden="false" customHeight="false" outlineLevel="0" collapsed="false">
      <c r="A216" s="2" t="n">
        <v>2012</v>
      </c>
      <c r="B216" s="2" t="s">
        <v>28</v>
      </c>
      <c r="C216" s="4" t="str">
        <f aca="false">IFERROR(VLOOKUP($B216,Ref_Continente!$A:$B,2,FALSE()),"Sin clasificar")</f>
        <v>Asia</v>
      </c>
      <c r="D216" s="5" t="n">
        <v>2114</v>
      </c>
      <c r="E216" s="6" t="n">
        <v>283</v>
      </c>
      <c r="F216" s="6" t="n">
        <v>17700</v>
      </c>
      <c r="G216" s="5" t="n">
        <v>262628865879.7</v>
      </c>
      <c r="H216" s="4" t="n">
        <f aca="false">IFERROR(IF(AND(VLOOKUP($B216,Ref_Acuerdos!$A:$E,2,FALSE())="FTA",$A216&gt;=VLOOKUP($B216,Ref_Acuerdos!$A:$E,3,FALSE())),1,0),0)</f>
        <v>0</v>
      </c>
      <c r="I216" s="4" t="n">
        <f aca="false">IFERROR(IF(AND(VLOOKUP($B216,Ref_Acuerdos!$A:$E,2,FALSE())="PTA",$A216&gt;=VLOOKUP($B216,Ref_Acuerdos!$A:$E,3,FALSE())),1,0),0)</f>
        <v>0</v>
      </c>
      <c r="J216" s="7" t="str">
        <f aca="false">IFERROR(IF($A216&gt;=VLOOKUP($B216,Ref_Acuerdos!$A:$E,3,FALSE()),VLOOKUP($B216,Ref_Acuerdos!$A:$E,4,FALSE()),""),"")</f>
        <v/>
      </c>
      <c r="K216" s="4" t="str">
        <f aca="false">IFERROR(IF($A216&gt;=VLOOKUP($B216,Ref_Acuerdos!$A:$E,3,FALSE()),VLOOKUP($B216,Ref_Acuerdos!$A:$E,5,FALSE()),"Sin FTA/PTA vigente ese año - arancel NMF"),"Sin FTA/PTA identificado - arancel NMF")</f>
        <v>Sin FTA/PTA identificado - arancel NMF</v>
      </c>
    </row>
    <row r="217" customFormat="false" ht="15" hidden="false" customHeight="false" outlineLevel="0" collapsed="false">
      <c r="A217" s="2" t="n">
        <v>2012</v>
      </c>
      <c r="B217" s="2" t="s">
        <v>117</v>
      </c>
      <c r="C217" s="4" t="str">
        <f aca="false">IFERROR(VLOOKUP($B217,Ref_Continente!$A:$B,2,FALSE()),"Sin clasificar")</f>
        <v>Europe</v>
      </c>
      <c r="D217" s="5" t="n">
        <v>2022</v>
      </c>
      <c r="E217" s="6" t="n">
        <v>354</v>
      </c>
      <c r="F217" s="6" t="n">
        <v>9200</v>
      </c>
      <c r="G217" s="5" t="n">
        <v>2719715961539.83</v>
      </c>
      <c r="H217" s="4" t="n">
        <f aca="false">IFERROR(IF(AND(VLOOKUP($B217,Ref_Acuerdos!$A:$E,2,FALSE())="FTA",$A217&gt;=VLOOKUP($B217,Ref_Acuerdos!$A:$E,3,FALSE())),1,0),0)</f>
        <v>0</v>
      </c>
      <c r="I217" s="4" t="n">
        <f aca="false">IFERROR(IF(AND(VLOOKUP($B217,Ref_Acuerdos!$A:$E,2,FALSE())="PTA",$A217&gt;=VLOOKUP($B217,Ref_Acuerdos!$A:$E,3,FALSE())),1,0),0)</f>
        <v>0</v>
      </c>
      <c r="J217" s="7" t="str">
        <f aca="false">IFERROR(IF($A217&gt;=VLOOKUP($B217,Ref_Acuerdos!$A:$E,3,FALSE()),VLOOKUP($B217,Ref_Acuerdos!$A:$E,4,FALSE()),""),"")</f>
        <v/>
      </c>
      <c r="K217" s="4" t="str">
        <f aca="false">IFERROR(IF($A217&gt;=VLOOKUP($B217,Ref_Acuerdos!$A:$E,3,FALSE()),VLOOKUP($B217,Ref_Acuerdos!$A:$E,5,FALSE()),"Sin FTA/PTA vigente ese año - arancel NMF"),"Sin FTA/PTA identificado - arancel NMF")</f>
        <v>Sin FTA/PTA vigente ese año - arancel NMF</v>
      </c>
    </row>
    <row r="218" customFormat="false" ht="15" hidden="false" customHeight="false" outlineLevel="0" collapsed="false">
      <c r="A218" s="2" t="n">
        <v>2012</v>
      </c>
      <c r="B218" s="2" t="s">
        <v>31</v>
      </c>
      <c r="C218" s="4" t="str">
        <f aca="false">IFERROR(VLOOKUP($B218,Ref_Continente!$A:$B,2,FALSE()),"Sin clasificar")</f>
        <v>Europe</v>
      </c>
      <c r="D218" s="5" t="n">
        <v>1829</v>
      </c>
      <c r="E218" s="6" t="n">
        <v>417</v>
      </c>
      <c r="F218" s="6" t="n">
        <v>10400</v>
      </c>
      <c r="G218" s="5" t="n">
        <v>57548115904.42</v>
      </c>
      <c r="H218" s="4" t="n">
        <f aca="false">IFERROR(IF(AND(VLOOKUP($B218,Ref_Acuerdos!$A:$E,2,FALSE())="FTA",$A218&gt;=VLOOKUP($B218,Ref_Acuerdos!$A:$E,3,FALSE())),1,0),0)</f>
        <v>0</v>
      </c>
      <c r="I218" s="4" t="n">
        <f aca="false">IFERROR(IF(AND(VLOOKUP($B218,Ref_Acuerdos!$A:$E,2,FALSE())="PTA",$A218&gt;=VLOOKUP($B218,Ref_Acuerdos!$A:$E,3,FALSE())),1,0),0)</f>
        <v>0</v>
      </c>
      <c r="J218" s="7" t="str">
        <f aca="false">IFERROR(IF($A218&gt;=VLOOKUP($B218,Ref_Acuerdos!$A:$E,3,FALSE()),VLOOKUP($B218,Ref_Acuerdos!$A:$E,4,FALSE()),""),"")</f>
        <v/>
      </c>
      <c r="K218" s="4" t="str">
        <f aca="false">IFERROR(IF($A218&gt;=VLOOKUP($B218,Ref_Acuerdos!$A:$E,3,FALSE()),VLOOKUP($B218,Ref_Acuerdos!$A:$E,5,FALSE()),"Sin FTA/PTA vigente ese año - arancel NMF"),"Sin FTA/PTA identificado - arancel NMF")</f>
        <v>Sin FTA/PTA vigente ese año - arancel NMF</v>
      </c>
    </row>
    <row r="219" customFormat="false" ht="15" hidden="false" customHeight="false" outlineLevel="0" collapsed="false">
      <c r="A219" s="2" t="n">
        <v>2012</v>
      </c>
      <c r="B219" s="2" t="s">
        <v>100</v>
      </c>
      <c r="C219" s="4" t="str">
        <f aca="false">IFERROR(VLOOKUP($B219,Ref_Continente!$A:$B,2,FALSE()),"Sin clasificar")</f>
        <v>Asia</v>
      </c>
      <c r="D219" s="5" t="n">
        <v>1763</v>
      </c>
      <c r="E219" s="6" t="n">
        <v>473</v>
      </c>
      <c r="F219" s="6" t="n">
        <v>13800</v>
      </c>
      <c r="G219" s="5" t="n">
        <v>751921333333.33</v>
      </c>
      <c r="H219" s="4" t="n">
        <f aca="false">IFERROR(IF(AND(VLOOKUP($B219,Ref_Acuerdos!$A:$E,2,FALSE())="FTA",$A219&gt;=VLOOKUP($B219,Ref_Acuerdos!$A:$E,3,FALSE())),1,0),0)</f>
        <v>0</v>
      </c>
      <c r="I219" s="4" t="n">
        <f aca="false">IFERROR(IF(AND(VLOOKUP($B219,Ref_Acuerdos!$A:$E,2,FALSE())="PTA",$A219&gt;=VLOOKUP($B219,Ref_Acuerdos!$A:$E,3,FALSE())),1,0),0)</f>
        <v>0</v>
      </c>
      <c r="J219" s="7" t="str">
        <f aca="false">IFERROR(IF($A219&gt;=VLOOKUP($B219,Ref_Acuerdos!$A:$E,3,FALSE()),VLOOKUP($B219,Ref_Acuerdos!$A:$E,4,FALSE()),""),"")</f>
        <v/>
      </c>
      <c r="K219" s="4" t="str">
        <f aca="false">IFERROR(IF($A219&gt;=VLOOKUP($B219,Ref_Acuerdos!$A:$E,3,FALSE()),VLOOKUP($B219,Ref_Acuerdos!$A:$E,5,FALSE()),"Sin FTA/PTA vigente ese año - arancel NMF"),"Sin FTA/PTA identificado - arancel NMF")</f>
        <v>Sin FTA/PTA identificado - arancel NMF</v>
      </c>
    </row>
    <row r="220" customFormat="false" ht="15" hidden="false" customHeight="false" outlineLevel="0" collapsed="false">
      <c r="A220" s="2" t="n">
        <v>2012</v>
      </c>
      <c r="B220" s="2" t="s">
        <v>108</v>
      </c>
      <c r="C220" s="4" t="str">
        <f aca="false">IFERROR(VLOOKUP($B220,Ref_Continente!$A:$B,2,FALSE()),"Sin clasificar")</f>
        <v>Europe</v>
      </c>
      <c r="D220" s="5" t="n">
        <v>1715</v>
      </c>
      <c r="E220" s="6" t="n">
        <v>350</v>
      </c>
      <c r="F220" s="6" t="n">
        <v>9800</v>
      </c>
      <c r="G220" s="5" t="n">
        <v>686420221557.99</v>
      </c>
      <c r="H220" s="4" t="n">
        <f aca="false">IFERROR(IF(AND(VLOOKUP($B220,Ref_Acuerdos!$A:$E,2,FALSE())="FTA",$A220&gt;=VLOOKUP($B220,Ref_Acuerdos!$A:$E,3,FALSE())),1,0),0)</f>
        <v>0</v>
      </c>
      <c r="I220" s="4" t="n">
        <f aca="false">IFERROR(IF(AND(VLOOKUP($B220,Ref_Acuerdos!$A:$E,2,FALSE())="PTA",$A220&gt;=VLOOKUP($B220,Ref_Acuerdos!$A:$E,3,FALSE())),1,0),0)</f>
        <v>0</v>
      </c>
      <c r="J220" s="7" t="str">
        <f aca="false">IFERROR(IF($A220&gt;=VLOOKUP($B220,Ref_Acuerdos!$A:$E,3,FALSE()),VLOOKUP($B220,Ref_Acuerdos!$A:$E,4,FALSE()),""),"")</f>
        <v/>
      </c>
      <c r="K220" s="4" t="str">
        <f aca="false">IFERROR(IF($A220&gt;=VLOOKUP($B220,Ref_Acuerdos!$A:$E,3,FALSE()),VLOOKUP($B220,Ref_Acuerdos!$A:$E,5,FALSE()),"Sin FTA/PTA vigente ese año - arancel NMF"),"Sin FTA/PTA identificado - arancel NMF")</f>
        <v>Sin FTA/PTA vigente ese año - arancel NMF</v>
      </c>
    </row>
    <row r="221" customFormat="false" ht="15" hidden="false" customHeight="false" outlineLevel="0" collapsed="false">
      <c r="A221" s="2" t="n">
        <v>2012</v>
      </c>
      <c r="B221" s="2" t="s">
        <v>52</v>
      </c>
      <c r="C221" s="4" t="str">
        <f aca="false">IFERROR(VLOOKUP($B221,Ref_Continente!$A:$B,2,FALSE()),"Sin clasificar")</f>
        <v>Europe</v>
      </c>
      <c r="D221" s="5" t="n">
        <v>1500</v>
      </c>
      <c r="E221" s="6" t="n">
        <v>375</v>
      </c>
      <c r="F221" s="6" t="n">
        <v>10350</v>
      </c>
      <c r="G221" s="5" t="n">
        <v>128470269689.96</v>
      </c>
      <c r="H221" s="4" t="n">
        <f aca="false">IFERROR(IF(AND(VLOOKUP($B221,Ref_Acuerdos!$A:$E,2,FALSE())="FTA",$A221&gt;=VLOOKUP($B221,Ref_Acuerdos!$A:$E,3,FALSE())),1,0),0)</f>
        <v>0</v>
      </c>
      <c r="I221" s="4" t="n">
        <f aca="false">IFERROR(IF(AND(VLOOKUP($B221,Ref_Acuerdos!$A:$E,2,FALSE())="PTA",$A221&gt;=VLOOKUP($B221,Ref_Acuerdos!$A:$E,3,FALSE())),1,0),0)</f>
        <v>0</v>
      </c>
      <c r="J221" s="7" t="str">
        <f aca="false">IFERROR(IF($A221&gt;=VLOOKUP($B221,Ref_Acuerdos!$A:$E,3,FALSE()),VLOOKUP($B221,Ref_Acuerdos!$A:$E,4,FALSE()),""),"")</f>
        <v/>
      </c>
      <c r="K221" s="4" t="str">
        <f aca="false">IFERROR(IF($A221&gt;=VLOOKUP($B221,Ref_Acuerdos!$A:$E,3,FALSE()),VLOOKUP($B221,Ref_Acuerdos!$A:$E,5,FALSE()),"Sin FTA/PTA vigente ese año - arancel NMF"),"Sin FTA/PTA identificado - arancel NMF")</f>
        <v>Sin FTA/PTA vigente ese año - arancel NMF</v>
      </c>
    </row>
    <row r="222" customFormat="false" ht="15" hidden="false" customHeight="false" outlineLevel="0" collapsed="false">
      <c r="A222" s="2" t="n">
        <v>2012</v>
      </c>
      <c r="B222" s="2" t="s">
        <v>39</v>
      </c>
      <c r="C222" s="4" t="str">
        <f aca="false">IFERROR(VLOOKUP($B222,Ref_Continente!$A:$B,2,FALSE()),"Sin clasificar")</f>
        <v>North America</v>
      </c>
      <c r="D222" s="5" t="n">
        <v>1288</v>
      </c>
      <c r="E222" s="6" t="n">
        <v>156</v>
      </c>
      <c r="F222" s="6" t="n">
        <v>2000</v>
      </c>
      <c r="G222" s="5" t="n">
        <v>21386150000</v>
      </c>
      <c r="H222" s="4" t="n">
        <f aca="false">IFERROR(IF(AND(VLOOKUP($B222,Ref_Acuerdos!$A:$E,2,FALSE())="FTA",$A222&gt;=VLOOKUP($B222,Ref_Acuerdos!$A:$E,3,FALSE())),1,0),0)</f>
        <v>0</v>
      </c>
      <c r="I222" s="4" t="n">
        <f aca="false">IFERROR(IF(AND(VLOOKUP($B222,Ref_Acuerdos!$A:$E,2,FALSE())="PTA",$A222&gt;=VLOOKUP($B222,Ref_Acuerdos!$A:$E,3,FALSE())),1,0),0)</f>
        <v>0</v>
      </c>
      <c r="J222" s="7" t="str">
        <f aca="false">IFERROR(IF($A222&gt;=VLOOKUP($B222,Ref_Acuerdos!$A:$E,3,FALSE()),VLOOKUP($B222,Ref_Acuerdos!$A:$E,4,FALSE()),""),"")</f>
        <v/>
      </c>
      <c r="K222" s="4" t="str">
        <f aca="false">IFERROR(IF($A222&gt;=VLOOKUP($B222,Ref_Acuerdos!$A:$E,3,FALSE()),VLOOKUP($B222,Ref_Acuerdos!$A:$E,5,FALSE()),"Sin FTA/PTA vigente ese año - arancel NMF"),"Sin FTA/PTA identificado - arancel NMF")</f>
        <v>Sin FTA/PTA identificado - arancel NMF</v>
      </c>
    </row>
    <row r="223" customFormat="false" ht="15" hidden="false" customHeight="false" outlineLevel="0" collapsed="false">
      <c r="A223" s="2" t="n">
        <v>2012</v>
      </c>
      <c r="B223" s="2" t="s">
        <v>93</v>
      </c>
      <c r="C223" s="4" t="str">
        <f aca="false">IFERROR(VLOOKUP($B223,Ref_Continente!$A:$B,2,FALSE()),"Sin clasificar")</f>
        <v>Asia</v>
      </c>
      <c r="D223" s="5" t="n">
        <v>900</v>
      </c>
      <c r="E223" s="6" t="n">
        <v>190</v>
      </c>
      <c r="F223" s="6" t="n">
        <v>15250</v>
      </c>
      <c r="G223" s="5" t="n">
        <v>1335343586437.67</v>
      </c>
      <c r="H223" s="4" t="n">
        <f aca="false">IFERROR(IF(AND(VLOOKUP($B223,Ref_Acuerdos!$A:$E,2,FALSE())="FTA",$A223&gt;=VLOOKUP($B223,Ref_Acuerdos!$A:$E,3,FALSE())),1,0),0)</f>
        <v>0</v>
      </c>
      <c r="I223" s="4" t="n">
        <f aca="false">IFERROR(IF(AND(VLOOKUP($B223,Ref_Acuerdos!$A:$E,2,FALSE())="PTA",$A223&gt;=VLOOKUP($B223,Ref_Acuerdos!$A:$E,3,FALSE())),1,0),0)</f>
        <v>0</v>
      </c>
      <c r="J223" s="7" t="str">
        <f aca="false">IFERROR(IF($A223&gt;=VLOOKUP($B223,Ref_Acuerdos!$A:$E,3,FALSE()),VLOOKUP($B223,Ref_Acuerdos!$A:$E,4,FALSE()),""),"")</f>
        <v/>
      </c>
      <c r="K223" s="4" t="str">
        <f aca="false">IFERROR(IF($A223&gt;=VLOOKUP($B223,Ref_Acuerdos!$A:$E,3,FALSE()),VLOOKUP($B223,Ref_Acuerdos!$A:$E,5,FALSE()),"Sin FTA/PTA vigente ese año - arancel NMF"),"Sin FTA/PTA identificado - arancel NMF")</f>
        <v>Sin FTA/PTA identificado - arancel NMF</v>
      </c>
    </row>
    <row r="224" customFormat="false" ht="15" hidden="false" customHeight="false" outlineLevel="0" collapsed="false">
      <c r="A224" s="2" t="n">
        <v>2012</v>
      </c>
      <c r="B224" s="2" t="s">
        <v>95</v>
      </c>
      <c r="C224" s="4" t="str">
        <f aca="false">IFERROR(VLOOKUP($B224,Ref_Continente!$A:$B,2,FALSE()),"Sin clasificar")</f>
        <v>Europe</v>
      </c>
      <c r="D224" s="5" t="n">
        <v>900</v>
      </c>
      <c r="E224" s="6" t="n">
        <v>225</v>
      </c>
      <c r="F224" s="6" t="n">
        <v>11300</v>
      </c>
      <c r="G224" s="5" t="n">
        <v>179117323107.09</v>
      </c>
      <c r="H224" s="4" t="n">
        <f aca="false">IFERROR(IF(AND(VLOOKUP($B224,Ref_Acuerdos!$A:$E,2,FALSE())="FTA",$A224&gt;=VLOOKUP($B224,Ref_Acuerdos!$A:$E,3,FALSE())),1,0),0)</f>
        <v>0</v>
      </c>
      <c r="I224" s="4" t="n">
        <f aca="false">IFERROR(IF(AND(VLOOKUP($B224,Ref_Acuerdos!$A:$E,2,FALSE())="PTA",$A224&gt;=VLOOKUP($B224,Ref_Acuerdos!$A:$E,3,FALSE())),1,0),0)</f>
        <v>0</v>
      </c>
      <c r="J224" s="7" t="str">
        <f aca="false">IFERROR(IF($A224&gt;=VLOOKUP($B224,Ref_Acuerdos!$A:$E,3,FALSE()),VLOOKUP($B224,Ref_Acuerdos!$A:$E,4,FALSE()),""),"")</f>
        <v/>
      </c>
      <c r="K224" s="4" t="str">
        <f aca="false">IFERROR(IF($A224&gt;=VLOOKUP($B224,Ref_Acuerdos!$A:$E,3,FALSE()),VLOOKUP($B224,Ref_Acuerdos!$A:$E,5,FALSE()),"Sin FTA/PTA vigente ese año - arancel NMF"),"Sin FTA/PTA identificado - arancel NMF")</f>
        <v>Sin FTA/PTA vigente ese año - arancel NMF</v>
      </c>
    </row>
    <row r="225" customFormat="false" ht="15" hidden="false" customHeight="false" outlineLevel="0" collapsed="false">
      <c r="A225" s="2" t="n">
        <v>2012</v>
      </c>
      <c r="B225" s="2" t="s">
        <v>35</v>
      </c>
      <c r="C225" s="4" t="str">
        <f aca="false">IFERROR(VLOOKUP($B225,Ref_Continente!$A:$B,2,FALSE()),"Sin clasificar")</f>
        <v>Europe</v>
      </c>
      <c r="D225" s="5" t="n">
        <v>900</v>
      </c>
      <c r="E225" s="6" t="n">
        <v>225</v>
      </c>
      <c r="F225" s="6" t="n">
        <v>10100</v>
      </c>
      <c r="G225" s="5" t="n">
        <v>210363223087.73</v>
      </c>
      <c r="H225" s="4" t="n">
        <f aca="false">IFERROR(IF(AND(VLOOKUP($B225,Ref_Acuerdos!$A:$E,2,FALSE())="FTA",$A225&gt;=VLOOKUP($B225,Ref_Acuerdos!$A:$E,3,FALSE())),1,0),0)</f>
        <v>0</v>
      </c>
      <c r="I225" s="4" t="n">
        <f aca="false">IFERROR(IF(AND(VLOOKUP($B225,Ref_Acuerdos!$A:$E,2,FALSE())="PTA",$A225&gt;=VLOOKUP($B225,Ref_Acuerdos!$A:$E,3,FALSE())),1,0),0)</f>
        <v>0</v>
      </c>
      <c r="J225" s="7" t="str">
        <f aca="false">IFERROR(IF($A225&gt;=VLOOKUP($B225,Ref_Acuerdos!$A:$E,3,FALSE()),VLOOKUP($B225,Ref_Acuerdos!$A:$E,4,FALSE()),""),"")</f>
        <v/>
      </c>
      <c r="K225" s="4" t="str">
        <f aca="false">IFERROR(IF($A225&gt;=VLOOKUP($B225,Ref_Acuerdos!$A:$E,3,FALSE()),VLOOKUP($B225,Ref_Acuerdos!$A:$E,5,FALSE()),"Sin FTA/PTA vigente ese año - arancel NMF"),"Sin FTA/PTA identificado - arancel NMF")</f>
        <v>Sin FTA/PTA vigente ese año - arancel NMF</v>
      </c>
    </row>
    <row r="226" customFormat="false" ht="15" hidden="false" customHeight="false" outlineLevel="0" collapsed="false">
      <c r="A226" s="2" t="n">
        <v>2012</v>
      </c>
      <c r="B226" s="2" t="s">
        <v>40</v>
      </c>
      <c r="C226" s="4" t="str">
        <f aca="false">IFERROR(VLOOKUP($B226,Ref_Continente!$A:$B,2,FALSE()),"Sin clasificar")</f>
        <v>Europe</v>
      </c>
      <c r="D226" s="5" t="n">
        <v>800</v>
      </c>
      <c r="E226" s="6" t="n">
        <v>170</v>
      </c>
      <c r="F226" s="6" t="n">
        <v>10400</v>
      </c>
      <c r="G226" s="5" t="n">
        <v>23237406116.4</v>
      </c>
      <c r="H226" s="4" t="n">
        <f aca="false">IFERROR(IF(AND(VLOOKUP($B226,Ref_Acuerdos!$A:$E,2,FALSE())="FTA",$A226&gt;=VLOOKUP($B226,Ref_Acuerdos!$A:$E,3,FALSE())),1,0),0)</f>
        <v>0</v>
      </c>
      <c r="I226" s="4" t="n">
        <f aca="false">IFERROR(IF(AND(VLOOKUP($B226,Ref_Acuerdos!$A:$E,2,FALSE())="PTA",$A226&gt;=VLOOKUP($B226,Ref_Acuerdos!$A:$E,3,FALSE())),1,0),0)</f>
        <v>0</v>
      </c>
      <c r="J226" s="7" t="str">
        <f aca="false">IFERROR(IF($A226&gt;=VLOOKUP($B226,Ref_Acuerdos!$A:$E,3,FALSE()),VLOOKUP($B226,Ref_Acuerdos!$A:$E,4,FALSE()),""),"")</f>
        <v/>
      </c>
      <c r="K226" s="4" t="str">
        <f aca="false">IFERROR(IF($A226&gt;=VLOOKUP($B226,Ref_Acuerdos!$A:$E,3,FALSE()),VLOOKUP($B226,Ref_Acuerdos!$A:$E,5,FALSE()),"Sin FTA/PTA vigente ese año - arancel NMF"),"Sin FTA/PTA identificado - arancel NMF")</f>
        <v>Sin FTA/PTA vigente ese año - arancel NMF</v>
      </c>
    </row>
    <row r="227" customFormat="false" ht="15" hidden="false" customHeight="false" outlineLevel="0" collapsed="false">
      <c r="A227" s="2" t="n">
        <v>2012</v>
      </c>
      <c r="B227" s="2" t="s">
        <v>65</v>
      </c>
      <c r="C227" s="4" t="str">
        <f aca="false">IFERROR(VLOOKUP($B227,Ref_Continente!$A:$B,2,FALSE()),"Sin clasificar")</f>
        <v>Asia</v>
      </c>
      <c r="D227" s="5" t="n">
        <v>800</v>
      </c>
      <c r="E227" s="6" t="n">
        <v>170</v>
      </c>
      <c r="F227" s="6" t="n">
        <v>14300</v>
      </c>
      <c r="G227" s="5"/>
      <c r="H227" s="4" t="n">
        <f aca="false">IFERROR(IF(AND(VLOOKUP($B227,Ref_Acuerdos!$A:$E,2,FALSE())="FTA",$A227&gt;=VLOOKUP($B227,Ref_Acuerdos!$A:$E,3,FALSE())),1,0),0)</f>
        <v>0</v>
      </c>
      <c r="I227" s="4" t="n">
        <f aca="false">IFERROR(IF(AND(VLOOKUP($B227,Ref_Acuerdos!$A:$E,2,FALSE())="PTA",$A227&gt;=VLOOKUP($B227,Ref_Acuerdos!$A:$E,3,FALSE())),1,0),0)</f>
        <v>0</v>
      </c>
      <c r="J227" s="7" t="str">
        <f aca="false">IFERROR(IF($A227&gt;=VLOOKUP($B227,Ref_Acuerdos!$A:$E,3,FALSE()),VLOOKUP($B227,Ref_Acuerdos!$A:$E,4,FALSE()),""),"")</f>
        <v/>
      </c>
      <c r="K227" s="4" t="str">
        <f aca="false">IFERROR(IF($A227&gt;=VLOOKUP($B227,Ref_Acuerdos!$A:$E,3,FALSE()),VLOOKUP($B227,Ref_Acuerdos!$A:$E,5,FALSE()),"Sin FTA/PTA vigente ese año - arancel NMF"),"Sin FTA/PTA identificado - arancel NMF")</f>
        <v>Sin FTA/PTA identificado - arancel NMF</v>
      </c>
    </row>
    <row r="228" customFormat="false" ht="15" hidden="false" customHeight="false" outlineLevel="0" collapsed="false">
      <c r="A228" s="2" t="n">
        <v>2012</v>
      </c>
      <c r="B228" s="2" t="s">
        <v>88</v>
      </c>
      <c r="C228" s="4" t="str">
        <f aca="false">IFERROR(VLOOKUP($B228,Ref_Continente!$A:$B,2,FALSE()),"Sin clasificar")</f>
        <v>South America</v>
      </c>
      <c r="D228" s="5" t="n">
        <v>728</v>
      </c>
      <c r="E228" s="6" t="n">
        <v>227</v>
      </c>
      <c r="F228" s="6" t="n">
        <v>1320</v>
      </c>
      <c r="G228" s="5" t="n">
        <v>192650021648.58</v>
      </c>
      <c r="H228" s="4" t="n">
        <f aca="false">IFERROR(IF(AND(VLOOKUP($B228,Ref_Acuerdos!$A:$E,2,FALSE())="FTA",$A228&gt;=VLOOKUP($B228,Ref_Acuerdos!$A:$E,3,FALSE())),1,0),0)</f>
        <v>0</v>
      </c>
      <c r="I228" s="4" t="n">
        <f aca="false">IFERROR(IF(AND(VLOOKUP($B228,Ref_Acuerdos!$A:$E,2,FALSE())="PTA",$A228&gt;=VLOOKUP($B228,Ref_Acuerdos!$A:$E,3,FALSE())),1,0),0)</f>
        <v>1</v>
      </c>
      <c r="J228" s="7" t="n">
        <f aca="false">IFERROR(IF($A228&gt;=VLOOKUP($B228,Ref_Acuerdos!$A:$E,3,FALSE()),VLOOKUP($B228,Ref_Acuerdos!$A:$E,4,FALSE()),""),"")</f>
        <v>0</v>
      </c>
      <c r="K228" s="4" t="str">
        <f aca="false">IFERROR(IF($A228&gt;=VLOOKUP($B228,Ref_Acuerdos!$A:$E,3,FALSE()),VLOOKUP($B228,Ref_Acuerdos!$A:$E,5,FALSE()),"Sin FTA/PTA vigente ese año - arancel NMF"),"Sin FTA/PTA identificado - arancel NMF")</f>
        <v>Comunidad Andina (CAN) - libre comercio intracomunitario</v>
      </c>
    </row>
    <row r="229" customFormat="false" ht="15" hidden="false" customHeight="false" outlineLevel="0" collapsed="false">
      <c r="A229" s="2" t="n">
        <v>2012</v>
      </c>
      <c r="B229" s="2" t="s">
        <v>113</v>
      </c>
      <c r="C229" s="4" t="str">
        <f aca="false">IFERROR(VLOOKUP($B229,Ref_Continente!$A:$B,2,FALSE()),"Sin clasificar")</f>
        <v>Europe</v>
      </c>
      <c r="D229" s="5" t="n">
        <v>678</v>
      </c>
      <c r="E229" s="6" t="n">
        <v>166</v>
      </c>
      <c r="F229" s="6" t="n">
        <v>11600</v>
      </c>
      <c r="G229" s="5" t="n">
        <v>885327622479.05</v>
      </c>
      <c r="H229" s="4" t="n">
        <f aca="false">IFERROR(IF(AND(VLOOKUP($B229,Ref_Acuerdos!$A:$E,2,FALSE())="FTA",$A229&gt;=VLOOKUP($B229,Ref_Acuerdos!$A:$E,3,FALSE())),1,0),0)</f>
        <v>0</v>
      </c>
      <c r="I229" s="4" t="n">
        <f aca="false">IFERROR(IF(AND(VLOOKUP($B229,Ref_Acuerdos!$A:$E,2,FALSE())="PTA",$A229&gt;=VLOOKUP($B229,Ref_Acuerdos!$A:$E,3,FALSE())),1,0),0)</f>
        <v>0</v>
      </c>
      <c r="J229" s="7" t="str">
        <f aca="false">IFERROR(IF($A229&gt;=VLOOKUP($B229,Ref_Acuerdos!$A:$E,3,FALSE()),VLOOKUP($B229,Ref_Acuerdos!$A:$E,4,FALSE()),""),"")</f>
        <v/>
      </c>
      <c r="K229" s="4" t="str">
        <f aca="false">IFERROR(IF($A229&gt;=VLOOKUP($B229,Ref_Acuerdos!$A:$E,3,FALSE()),VLOOKUP($B229,Ref_Acuerdos!$A:$E,5,FALSE()),"Sin FTA/PTA vigente ese año - arancel NMF"),"Sin FTA/PTA identificado - arancel NMF")</f>
        <v>Sin FTA/PTA identificado - arancel NMF</v>
      </c>
    </row>
    <row r="230" customFormat="false" ht="15" hidden="false" customHeight="false" outlineLevel="0" collapsed="false">
      <c r="A230" s="2" t="n">
        <v>2012</v>
      </c>
      <c r="B230" s="2" t="s">
        <v>22</v>
      </c>
      <c r="C230" s="4" t="str">
        <f aca="false">IFERROR(VLOOKUP($B230,Ref_Continente!$A:$B,2,FALSE()),"Sin clasificar")</f>
        <v>Europe</v>
      </c>
      <c r="D230" s="5" t="n">
        <v>595</v>
      </c>
      <c r="E230" s="6" t="n">
        <v>131</v>
      </c>
      <c r="F230" s="6" t="n">
        <v>10500</v>
      </c>
      <c r="G230" s="5"/>
      <c r="H230" s="4" t="n">
        <f aca="false">IFERROR(IF(AND(VLOOKUP($B230,Ref_Acuerdos!$A:$E,2,FALSE())="FTA",$A230&gt;=VLOOKUP($B230,Ref_Acuerdos!$A:$E,3,FALSE())),1,0),0)</f>
        <v>0</v>
      </c>
      <c r="I230" s="4" t="n">
        <f aca="false">IFERROR(IF(AND(VLOOKUP($B230,Ref_Acuerdos!$A:$E,2,FALSE())="PTA",$A230&gt;=VLOOKUP($B230,Ref_Acuerdos!$A:$E,3,FALSE())),1,0),0)</f>
        <v>0</v>
      </c>
      <c r="J230" s="7" t="str">
        <f aca="false">IFERROR(IF($A230&gt;=VLOOKUP($B230,Ref_Acuerdos!$A:$E,3,FALSE()),VLOOKUP($B230,Ref_Acuerdos!$A:$E,4,FALSE()),""),"")</f>
        <v/>
      </c>
      <c r="K230" s="4" t="str">
        <f aca="false">IFERROR(IF($A230&gt;=VLOOKUP($B230,Ref_Acuerdos!$A:$E,3,FALSE()),VLOOKUP($B230,Ref_Acuerdos!$A:$E,5,FALSE()),"Sin FTA/PTA vigente ese año - arancel NMF"),"Sin FTA/PTA identificado - arancel NMF")</f>
        <v>Sin FTA/PTA identificado - arancel NMF</v>
      </c>
    </row>
    <row r="231" customFormat="false" ht="15" hidden="false" customHeight="false" outlineLevel="0" collapsed="false">
      <c r="A231" s="2" t="n">
        <v>2012</v>
      </c>
      <c r="B231" s="2" t="s">
        <v>90</v>
      </c>
      <c r="C231" s="4" t="str">
        <f aca="false">IFERROR(VLOOKUP($B231,Ref_Continente!$A:$B,2,FALSE()),"Sin clasificar")</f>
        <v>Europe</v>
      </c>
      <c r="D231" s="5" t="n">
        <v>543</v>
      </c>
      <c r="E231" s="6" t="n">
        <v>143</v>
      </c>
      <c r="F231" s="6" t="n">
        <v>10300</v>
      </c>
      <c r="G231" s="5" t="n">
        <v>498148649702.66</v>
      </c>
      <c r="H231" s="4" t="n">
        <f aca="false">IFERROR(IF(AND(VLOOKUP($B231,Ref_Acuerdos!$A:$E,2,FALSE())="FTA",$A231&gt;=VLOOKUP($B231,Ref_Acuerdos!$A:$E,3,FALSE())),1,0),0)</f>
        <v>0</v>
      </c>
      <c r="I231" s="4" t="n">
        <f aca="false">IFERROR(IF(AND(VLOOKUP($B231,Ref_Acuerdos!$A:$E,2,FALSE())="PTA",$A231&gt;=VLOOKUP($B231,Ref_Acuerdos!$A:$E,3,FALSE())),1,0),0)</f>
        <v>0</v>
      </c>
      <c r="J231" s="7" t="str">
        <f aca="false">IFERROR(IF($A231&gt;=VLOOKUP($B231,Ref_Acuerdos!$A:$E,3,FALSE()),VLOOKUP($B231,Ref_Acuerdos!$A:$E,4,FALSE()),""),"")</f>
        <v/>
      </c>
      <c r="K231" s="4" t="str">
        <f aca="false">IFERROR(IF($A231&gt;=VLOOKUP($B231,Ref_Acuerdos!$A:$E,3,FALSE()),VLOOKUP($B231,Ref_Acuerdos!$A:$E,5,FALSE()),"Sin FTA/PTA vigente ese año - arancel NMF"),"Sin FTA/PTA identificado - arancel NMF")</f>
        <v>Sin FTA/PTA vigente ese año - arancel NMF</v>
      </c>
    </row>
    <row r="232" customFormat="false" ht="15" hidden="false" customHeight="false" outlineLevel="0" collapsed="false">
      <c r="A232" s="2" t="n">
        <v>2012</v>
      </c>
      <c r="B232" s="2" t="s">
        <v>120</v>
      </c>
      <c r="C232" s="4" t="str">
        <f aca="false">IFERROR(VLOOKUP($B232,Ref_Continente!$A:$B,2,FALSE()),"Sin clasificar")</f>
        <v>Asia</v>
      </c>
      <c r="D232" s="5" t="n">
        <v>543</v>
      </c>
      <c r="E232" s="6" t="n">
        <v>126</v>
      </c>
      <c r="F232" s="6" t="n">
        <v>17600</v>
      </c>
      <c r="G232" s="5" t="n">
        <v>195590661129.25</v>
      </c>
      <c r="H232" s="4" t="n">
        <f aca="false">IFERROR(IF(AND(VLOOKUP($B232,Ref_Acuerdos!$A:$E,2,FALSE())="FTA",$A232&gt;=VLOOKUP($B232,Ref_Acuerdos!$A:$E,3,FALSE())),1,0),0)</f>
        <v>0</v>
      </c>
      <c r="I232" s="4" t="n">
        <f aca="false">IFERROR(IF(AND(VLOOKUP($B232,Ref_Acuerdos!$A:$E,2,FALSE())="PTA",$A232&gt;=VLOOKUP($B232,Ref_Acuerdos!$A:$E,3,FALSE())),1,0),0)</f>
        <v>0</v>
      </c>
      <c r="J232" s="7" t="str">
        <f aca="false">IFERROR(IF($A232&gt;=VLOOKUP($B232,Ref_Acuerdos!$A:$E,3,FALSE()),VLOOKUP($B232,Ref_Acuerdos!$A:$E,4,FALSE()),""),"")</f>
        <v/>
      </c>
      <c r="K232" s="4" t="str">
        <f aca="false">IFERROR(IF($A232&gt;=VLOOKUP($B232,Ref_Acuerdos!$A:$E,3,FALSE()),VLOOKUP($B232,Ref_Acuerdos!$A:$E,5,FALSE()),"Sin FTA/PTA vigente ese año - arancel NMF"),"Sin FTA/PTA identificado - arancel NMF")</f>
        <v>Sin FTA/PTA identificado - arancel NMF</v>
      </c>
    </row>
    <row r="233" customFormat="false" ht="15" hidden="false" customHeight="false" outlineLevel="0" collapsed="false">
      <c r="A233" s="2" t="n">
        <v>2012</v>
      </c>
      <c r="B233" s="2" t="s">
        <v>67</v>
      </c>
      <c r="C233" s="4" t="str">
        <f aca="false">IFERROR(VLOOKUP($B233,Ref_Continente!$A:$B,2,FALSE()),"Sin clasificar")</f>
        <v>Asia</v>
      </c>
      <c r="D233" s="5" t="n">
        <v>329</v>
      </c>
      <c r="E233" s="6" t="n">
        <v>72</v>
      </c>
      <c r="F233" s="6" t="n">
        <v>11800</v>
      </c>
      <c r="G233" s="5" t="n">
        <v>44016799515.75</v>
      </c>
      <c r="H233" s="4" t="n">
        <f aca="false">IFERROR(IF(AND(VLOOKUP($B233,Ref_Acuerdos!$A:$E,2,FALSE())="FTA",$A233&gt;=VLOOKUP($B233,Ref_Acuerdos!$A:$E,3,FALSE())),1,0),0)</f>
        <v>0</v>
      </c>
      <c r="I233" s="4" t="n">
        <f aca="false">IFERROR(IF(AND(VLOOKUP($B233,Ref_Acuerdos!$A:$E,2,FALSE())="PTA",$A233&gt;=VLOOKUP($B233,Ref_Acuerdos!$A:$E,3,FALSE())),1,0),0)</f>
        <v>0</v>
      </c>
      <c r="J233" s="7" t="str">
        <f aca="false">IFERROR(IF($A233&gt;=VLOOKUP($B233,Ref_Acuerdos!$A:$E,3,FALSE()),VLOOKUP($B233,Ref_Acuerdos!$A:$E,4,FALSE()),""),"")</f>
        <v/>
      </c>
      <c r="K233" s="4" t="str">
        <f aca="false">IFERROR(IF($A233&gt;=VLOOKUP($B233,Ref_Acuerdos!$A:$E,3,FALSE()),VLOOKUP($B233,Ref_Acuerdos!$A:$E,5,FALSE()),"Sin FTA/PTA vigente ese año - arancel NMF"),"Sin FTA/PTA identificado - arancel NMF")</f>
        <v>Sin FTA/PTA identificado - arancel NMF</v>
      </c>
    </row>
    <row r="234" customFormat="false" ht="15" hidden="false" customHeight="false" outlineLevel="0" collapsed="false">
      <c r="A234" s="2" t="n">
        <v>2012</v>
      </c>
      <c r="B234" s="2" t="s">
        <v>8</v>
      </c>
      <c r="C234" s="4" t="str">
        <f aca="false">IFERROR(VLOOKUP($B234,Ref_Continente!$A:$B,2,FALSE()),"Sin clasificar")</f>
        <v>Asia</v>
      </c>
      <c r="D234" s="5" t="n">
        <v>300</v>
      </c>
      <c r="E234" s="6" t="n">
        <v>75</v>
      </c>
      <c r="F234" s="6" t="n">
        <v>11600</v>
      </c>
      <c r="G234" s="5" t="n">
        <v>10619320682.95</v>
      </c>
      <c r="H234" s="4" t="n">
        <f aca="false">IFERROR(IF(AND(VLOOKUP($B234,Ref_Acuerdos!$A:$E,2,FALSE())="FTA",$A234&gt;=VLOOKUP($B234,Ref_Acuerdos!$A:$E,3,FALSE())),1,0),0)</f>
        <v>0</v>
      </c>
      <c r="I234" s="4" t="n">
        <f aca="false">IFERROR(IF(AND(VLOOKUP($B234,Ref_Acuerdos!$A:$E,2,FALSE())="PTA",$A234&gt;=VLOOKUP($B234,Ref_Acuerdos!$A:$E,3,FALSE())),1,0),0)</f>
        <v>0</v>
      </c>
      <c r="J234" s="7" t="str">
        <f aca="false">IFERROR(IF($A234&gt;=VLOOKUP($B234,Ref_Acuerdos!$A:$E,3,FALSE()),VLOOKUP($B234,Ref_Acuerdos!$A:$E,4,FALSE()),""),"")</f>
        <v/>
      </c>
      <c r="K234" s="4" t="str">
        <f aca="false">IFERROR(IF($A234&gt;=VLOOKUP($B234,Ref_Acuerdos!$A:$E,3,FALSE()),VLOOKUP($B234,Ref_Acuerdos!$A:$E,5,FALSE()),"Sin FTA/PTA vigente ese año - arancel NMF"),"Sin FTA/PTA identificado - arancel NMF")</f>
        <v>Sin FTA/PTA identificado - arancel NMF</v>
      </c>
    </row>
    <row r="235" customFormat="false" ht="15" hidden="false" customHeight="false" outlineLevel="0" collapsed="false">
      <c r="A235" s="2" t="n">
        <v>2012</v>
      </c>
      <c r="B235" s="2" t="s">
        <v>104</v>
      </c>
      <c r="C235" s="4" t="str">
        <f aca="false">IFERROR(VLOOKUP($B235,Ref_Continente!$A:$B,2,FALSE()),"Sin clasificar")</f>
        <v>Europe</v>
      </c>
      <c r="D235" s="5" t="n">
        <v>300</v>
      </c>
      <c r="E235" s="6" t="n">
        <v>75</v>
      </c>
      <c r="F235" s="6" t="n">
        <v>10300</v>
      </c>
      <c r="G235" s="5" t="n">
        <v>46167053954.34</v>
      </c>
      <c r="H235" s="4" t="n">
        <f aca="false">IFERROR(IF(AND(VLOOKUP($B235,Ref_Acuerdos!$A:$E,2,FALSE())="FTA",$A235&gt;=VLOOKUP($B235,Ref_Acuerdos!$A:$E,3,FALSE())),1,0),0)</f>
        <v>0</v>
      </c>
      <c r="I235" s="4" t="n">
        <f aca="false">IFERROR(IF(AND(VLOOKUP($B235,Ref_Acuerdos!$A:$E,2,FALSE())="PTA",$A235&gt;=VLOOKUP($B235,Ref_Acuerdos!$A:$E,3,FALSE())),1,0),0)</f>
        <v>0</v>
      </c>
      <c r="J235" s="7" t="str">
        <f aca="false">IFERROR(IF($A235&gt;=VLOOKUP($B235,Ref_Acuerdos!$A:$E,3,FALSE()),VLOOKUP($B235,Ref_Acuerdos!$A:$E,4,FALSE()),""),"")</f>
        <v/>
      </c>
      <c r="K235" s="4" t="str">
        <f aca="false">IFERROR(IF($A235&gt;=VLOOKUP($B235,Ref_Acuerdos!$A:$E,3,FALSE()),VLOOKUP($B235,Ref_Acuerdos!$A:$E,5,FALSE()),"Sin FTA/PTA vigente ese año - arancel NMF"),"Sin FTA/PTA identificado - arancel NMF")</f>
        <v>Sin FTA/PTA vigente ese año - arancel NMF</v>
      </c>
    </row>
    <row r="236" customFormat="false" ht="15" hidden="false" customHeight="false" outlineLevel="0" collapsed="false">
      <c r="A236" s="2" t="n">
        <v>2012</v>
      </c>
      <c r="B236" s="2" t="s">
        <v>102</v>
      </c>
      <c r="C236" s="4" t="str">
        <f aca="false">IFERROR(VLOOKUP($B236,Ref_Continente!$A:$B,2,FALSE()),"Sin clasificar")</f>
        <v>Asia</v>
      </c>
      <c r="D236" s="5" t="n">
        <v>275</v>
      </c>
      <c r="E236" s="6" t="n">
        <v>66</v>
      </c>
      <c r="F236" s="6" t="n">
        <v>18800</v>
      </c>
      <c r="G236" s="5" t="n">
        <v>295092888076.59</v>
      </c>
      <c r="H236" s="4" t="n">
        <f aca="false">IFERROR(IF(AND(VLOOKUP($B236,Ref_Acuerdos!$A:$E,2,FALSE())="FTA",$A236&gt;=VLOOKUP($B236,Ref_Acuerdos!$A:$E,3,FALSE())),1,0),0)</f>
        <v>0</v>
      </c>
      <c r="I236" s="4" t="n">
        <f aca="false">IFERROR(IF(AND(VLOOKUP($B236,Ref_Acuerdos!$A:$E,2,FALSE())="PTA",$A236&gt;=VLOOKUP($B236,Ref_Acuerdos!$A:$E,3,FALSE())),1,0),0)</f>
        <v>0</v>
      </c>
      <c r="J236" s="7" t="str">
        <f aca="false">IFERROR(IF($A236&gt;=VLOOKUP($B236,Ref_Acuerdos!$A:$E,3,FALSE()),VLOOKUP($B236,Ref_Acuerdos!$A:$E,4,FALSE()),""),"")</f>
        <v/>
      </c>
      <c r="K236" s="4" t="str">
        <f aca="false">IFERROR(IF($A236&gt;=VLOOKUP($B236,Ref_Acuerdos!$A:$E,3,FALSE()),VLOOKUP($B236,Ref_Acuerdos!$A:$E,5,FALSE()),"Sin FTA/PTA vigente ese año - arancel NMF"),"Sin FTA/PTA identificado - arancel NMF")</f>
        <v>Sin FTA/PTA identificado - arancel NMF</v>
      </c>
    </row>
    <row r="237" customFormat="false" ht="15" hidden="false" customHeight="false" outlineLevel="0" collapsed="false">
      <c r="A237" s="2" t="n">
        <v>2012</v>
      </c>
      <c r="B237" s="2" t="s">
        <v>33</v>
      </c>
      <c r="C237" s="4" t="str">
        <f aca="false">IFERROR(VLOOKUP($B237,Ref_Continente!$A:$B,2,FALSE()),"Sin clasificar")</f>
        <v>North America</v>
      </c>
      <c r="D237" s="5" t="n">
        <v>209</v>
      </c>
      <c r="E237" s="6" t="n">
        <v>46</v>
      </c>
      <c r="F237" s="6" t="n">
        <v>2100</v>
      </c>
      <c r="G237" s="5"/>
      <c r="H237" s="4" t="n">
        <f aca="false">IFERROR(IF(AND(VLOOKUP($B237,Ref_Acuerdos!$A:$E,2,FALSE())="FTA",$A237&gt;=VLOOKUP($B237,Ref_Acuerdos!$A:$E,3,FALSE())),1,0),0)</f>
        <v>0</v>
      </c>
      <c r="I237" s="4" t="n">
        <f aca="false">IFERROR(IF(AND(VLOOKUP($B237,Ref_Acuerdos!$A:$E,2,FALSE())="PTA",$A237&gt;=VLOOKUP($B237,Ref_Acuerdos!$A:$E,3,FALSE())),1,0),0)</f>
        <v>0</v>
      </c>
      <c r="J237" s="7" t="str">
        <f aca="false">IFERROR(IF($A237&gt;=VLOOKUP($B237,Ref_Acuerdos!$A:$E,3,FALSE()),VLOOKUP($B237,Ref_Acuerdos!$A:$E,4,FALSE()),""),"")</f>
        <v/>
      </c>
      <c r="K237" s="4" t="str">
        <f aca="false">IFERROR(IF($A237&gt;=VLOOKUP($B237,Ref_Acuerdos!$A:$E,3,FALSE()),VLOOKUP($B237,Ref_Acuerdos!$A:$E,5,FALSE()),"Sin FTA/PTA vigente ese año - arancel NMF"),"Sin FTA/PTA identificado - arancel NMF")</f>
        <v>Sin FTA/PTA identificado - arancel NMF</v>
      </c>
    </row>
    <row r="238" customFormat="false" ht="15" hidden="false" customHeight="false" outlineLevel="0" collapsed="false">
      <c r="A238" s="2" t="n">
        <v>2012</v>
      </c>
      <c r="B238" s="2" t="s">
        <v>87</v>
      </c>
      <c r="C238" s="4" t="str">
        <f aca="false">IFERROR(VLOOKUP($B238,Ref_Continente!$A:$B,2,FALSE()),"Sin clasificar")</f>
        <v>South America</v>
      </c>
      <c r="D238" s="5" t="n">
        <v>204</v>
      </c>
      <c r="E238" s="6" t="n">
        <v>32</v>
      </c>
      <c r="F238" s="6" t="n">
        <v>3600</v>
      </c>
      <c r="G238" s="5" t="n">
        <v>33271921136.31</v>
      </c>
      <c r="H238" s="4" t="n">
        <f aca="false">IFERROR(IF(AND(VLOOKUP($B238,Ref_Acuerdos!$A:$E,2,FALSE())="FTA",$A238&gt;=VLOOKUP($B238,Ref_Acuerdos!$A:$E,3,FALSE())),1,0),0)</f>
        <v>0</v>
      </c>
      <c r="I238" s="4" t="n">
        <f aca="false">IFERROR(IF(AND(VLOOKUP($B238,Ref_Acuerdos!$A:$E,2,FALSE())="PTA",$A238&gt;=VLOOKUP($B238,Ref_Acuerdos!$A:$E,3,FALSE())),1,0),0)</f>
        <v>1</v>
      </c>
      <c r="J238" s="7" t="n">
        <f aca="false">IFERROR(IF($A238&gt;=VLOOKUP($B238,Ref_Acuerdos!$A:$E,3,FALSE()),VLOOKUP($B238,Ref_Acuerdos!$A:$E,4,FALSE()),""),"")</f>
        <v>5</v>
      </c>
      <c r="K238" s="4" t="str">
        <f aca="false">IFERROR(IF($A238&gt;=VLOOKUP($B238,Ref_Acuerdos!$A:$E,3,FALSE()),VLOOKUP($B238,Ref_Acuerdos!$A:$E,5,FALSE()),"Sin FTA/PTA vigente ese año - arancel NMF"),"Sin FTA/PTA identificado - arancel NMF")</f>
        <v>Ecuador-Mercosur ACE 59 - preferencias parciales (tarifa referencial)</v>
      </c>
    </row>
    <row r="239" customFormat="false" ht="15" hidden="false" customHeight="false" outlineLevel="0" collapsed="false">
      <c r="A239" s="2" t="n">
        <v>2012</v>
      </c>
      <c r="B239" s="2" t="s">
        <v>47</v>
      </c>
      <c r="C239" s="4" t="str">
        <f aca="false">IFERROR(VLOOKUP($B239,Ref_Continente!$A:$B,2,FALSE()),"Sin clasificar")</f>
        <v>Oceania</v>
      </c>
      <c r="D239" s="5" t="n">
        <v>200</v>
      </c>
      <c r="E239" s="6" t="n">
        <v>122</v>
      </c>
      <c r="F239" s="6" t="n">
        <v>14200</v>
      </c>
      <c r="G239" s="5" t="n">
        <v>5265000000</v>
      </c>
      <c r="H239" s="4" t="n">
        <f aca="false">IFERROR(IF(AND(VLOOKUP($B239,Ref_Acuerdos!$A:$E,2,FALSE())="FTA",$A239&gt;=VLOOKUP($B239,Ref_Acuerdos!$A:$E,3,FALSE())),1,0),0)</f>
        <v>0</v>
      </c>
      <c r="I239" s="4" t="n">
        <f aca="false">IFERROR(IF(AND(VLOOKUP($B239,Ref_Acuerdos!$A:$E,2,FALSE())="PTA",$A239&gt;=VLOOKUP($B239,Ref_Acuerdos!$A:$E,3,FALSE())),1,0),0)</f>
        <v>0</v>
      </c>
      <c r="J239" s="7" t="str">
        <f aca="false">IFERROR(IF($A239&gt;=VLOOKUP($B239,Ref_Acuerdos!$A:$E,3,FALSE()),VLOOKUP($B239,Ref_Acuerdos!$A:$E,4,FALSE()),""),"")</f>
        <v/>
      </c>
      <c r="K239" s="4" t="str">
        <f aca="false">IFERROR(IF($A239&gt;=VLOOKUP($B239,Ref_Acuerdos!$A:$E,3,FALSE()),VLOOKUP($B239,Ref_Acuerdos!$A:$E,5,FALSE()),"Sin FTA/PTA vigente ese año - arancel NMF"),"Sin FTA/PTA identificado - arancel NMF")</f>
        <v>Sin FTA/PTA identificado - arancel NMF</v>
      </c>
    </row>
    <row r="240" customFormat="false" ht="15" hidden="false" customHeight="false" outlineLevel="0" collapsed="false">
      <c r="A240" s="2" t="n">
        <v>2012</v>
      </c>
      <c r="B240" s="2" t="s">
        <v>54</v>
      </c>
      <c r="C240" s="4" t="str">
        <f aca="false">IFERROR(VLOOKUP($B240,Ref_Continente!$A:$B,2,FALSE()),"Sin clasificar")</f>
        <v>Asia</v>
      </c>
      <c r="D240" s="5" t="n">
        <v>190</v>
      </c>
      <c r="E240" s="6" t="n">
        <v>38</v>
      </c>
      <c r="F240" s="6" t="n">
        <v>19300</v>
      </c>
      <c r="G240" s="5" t="n">
        <v>917869913332.65</v>
      </c>
      <c r="H240" s="4" t="n">
        <f aca="false">IFERROR(IF(AND(VLOOKUP($B240,Ref_Acuerdos!$A:$E,2,FALSE())="FTA",$A240&gt;=VLOOKUP($B240,Ref_Acuerdos!$A:$E,3,FALSE())),1,0),0)</f>
        <v>0</v>
      </c>
      <c r="I240" s="4" t="n">
        <f aca="false">IFERROR(IF(AND(VLOOKUP($B240,Ref_Acuerdos!$A:$E,2,FALSE())="PTA",$A240&gt;=VLOOKUP($B240,Ref_Acuerdos!$A:$E,3,FALSE())),1,0),0)</f>
        <v>0</v>
      </c>
      <c r="J240" s="7" t="str">
        <f aca="false">IFERROR(IF($A240&gt;=VLOOKUP($B240,Ref_Acuerdos!$A:$E,3,FALSE()),VLOOKUP($B240,Ref_Acuerdos!$A:$E,4,FALSE()),""),"")</f>
        <v/>
      </c>
      <c r="K240" s="4" t="str">
        <f aca="false">IFERROR(IF($A240&gt;=VLOOKUP($B240,Ref_Acuerdos!$A:$E,3,FALSE()),VLOOKUP($B240,Ref_Acuerdos!$A:$E,5,FALSE()),"Sin FTA/PTA vigente ese año - arancel NMF"),"Sin FTA/PTA identificado - arancel NMF")</f>
        <v>Sin FTA/PTA identificado - arancel NMF</v>
      </c>
    </row>
    <row r="241" customFormat="false" ht="15" hidden="false" customHeight="false" outlineLevel="0" collapsed="false">
      <c r="A241" s="2" t="n">
        <v>2012</v>
      </c>
      <c r="B241" s="2" t="s">
        <v>17</v>
      </c>
      <c r="C241" s="4" t="str">
        <f aca="false">IFERROR(VLOOKUP($B241,Ref_Continente!$A:$B,2,FALSE()),"Sin clasificar")</f>
        <v>North America</v>
      </c>
      <c r="D241" s="5" t="n">
        <v>172</v>
      </c>
      <c r="E241" s="6" t="n">
        <v>43</v>
      </c>
      <c r="F241" s="6"/>
      <c r="G241" s="5"/>
      <c r="H241" s="4" t="n">
        <f aca="false">IFERROR(IF(AND(VLOOKUP($B241,Ref_Acuerdos!$A:$E,2,FALSE())="FTA",$A241&gt;=VLOOKUP($B241,Ref_Acuerdos!$A:$E,3,FALSE())),1,0),0)</f>
        <v>0</v>
      </c>
      <c r="I241" s="4" t="n">
        <f aca="false">IFERROR(IF(AND(VLOOKUP($B241,Ref_Acuerdos!$A:$E,2,FALSE())="PTA",$A241&gt;=VLOOKUP($B241,Ref_Acuerdos!$A:$E,3,FALSE())),1,0),0)</f>
        <v>0</v>
      </c>
      <c r="J241" s="7" t="str">
        <f aca="false">IFERROR(IF($A241&gt;=VLOOKUP($B241,Ref_Acuerdos!$A:$E,3,FALSE()),VLOOKUP($B241,Ref_Acuerdos!$A:$E,4,FALSE()),""),"")</f>
        <v/>
      </c>
      <c r="K241" s="4" t="str">
        <f aca="false">IFERROR(IF($A241&gt;=VLOOKUP($B241,Ref_Acuerdos!$A:$E,3,FALSE()),VLOOKUP($B241,Ref_Acuerdos!$A:$E,5,FALSE()),"Sin FTA/PTA vigente ese año - arancel NMF"),"Sin FTA/PTA identificado - arancel NMF")</f>
        <v>Sin FTA/PTA identificado - arancel NMF</v>
      </c>
    </row>
    <row r="242" customFormat="false" ht="15" hidden="false" customHeight="false" outlineLevel="0" collapsed="false">
      <c r="A242" s="2" t="n">
        <v>2012</v>
      </c>
      <c r="B242" s="2" t="s">
        <v>53</v>
      </c>
      <c r="C242" s="4" t="str">
        <f aca="false">IFERROR(VLOOKUP($B242,Ref_Continente!$A:$B,2,FALSE()),"Sin clasificar")</f>
        <v>Asia</v>
      </c>
      <c r="D242" s="5" t="n">
        <v>100</v>
      </c>
      <c r="E242" s="6" t="n">
        <v>20</v>
      </c>
      <c r="F242" s="6" t="n">
        <v>16200</v>
      </c>
      <c r="G242" s="5" t="n">
        <v>1827637590410.41</v>
      </c>
      <c r="H242" s="4" t="n">
        <f aca="false">IFERROR(IF(AND(VLOOKUP($B242,Ref_Acuerdos!$A:$E,2,FALSE())="FTA",$A242&gt;=VLOOKUP($B242,Ref_Acuerdos!$A:$E,3,FALSE())),1,0),0)</f>
        <v>0</v>
      </c>
      <c r="I242" s="4" t="n">
        <f aca="false">IFERROR(IF(AND(VLOOKUP($B242,Ref_Acuerdos!$A:$E,2,FALSE())="PTA",$A242&gt;=VLOOKUP($B242,Ref_Acuerdos!$A:$E,3,FALSE())),1,0),0)</f>
        <v>0</v>
      </c>
      <c r="J242" s="7" t="str">
        <f aca="false">IFERROR(IF($A242&gt;=VLOOKUP($B242,Ref_Acuerdos!$A:$E,3,FALSE()),VLOOKUP($B242,Ref_Acuerdos!$A:$E,4,FALSE()),""),"")</f>
        <v/>
      </c>
      <c r="K242" s="4" t="str">
        <f aca="false">IFERROR(IF($A242&gt;=VLOOKUP($B242,Ref_Acuerdos!$A:$E,3,FALSE()),VLOOKUP($B242,Ref_Acuerdos!$A:$E,5,FALSE()),"Sin FTA/PTA vigente ese año - arancel NMF"),"Sin FTA/PTA identificado - arancel NMF")</f>
        <v>Sin FTA/PTA identificado - arancel NMF</v>
      </c>
    </row>
    <row r="243" customFormat="false" ht="15" hidden="false" customHeight="false" outlineLevel="0" collapsed="false">
      <c r="A243" s="2" t="n">
        <v>2012</v>
      </c>
      <c r="B243" s="2" t="s">
        <v>84</v>
      </c>
      <c r="C243" s="4" t="str">
        <f aca="false">IFERROR(VLOOKUP($B243,Ref_Continente!$A:$B,2,FALSE()),"Sin clasificar")</f>
        <v>Asia</v>
      </c>
      <c r="D243" s="5" t="n">
        <v>100</v>
      </c>
      <c r="E243" s="6" t="n">
        <v>20</v>
      </c>
      <c r="F243" s="6" t="n">
        <v>14100</v>
      </c>
      <c r="G243" s="5" t="n">
        <v>87408842652.8</v>
      </c>
      <c r="H243" s="4" t="n">
        <f aca="false">IFERROR(IF(AND(VLOOKUP($B243,Ref_Acuerdos!$A:$E,2,FALSE())="FTA",$A243&gt;=VLOOKUP($B243,Ref_Acuerdos!$A:$E,3,FALSE())),1,0),0)</f>
        <v>0</v>
      </c>
      <c r="I243" s="4" t="n">
        <f aca="false">IFERROR(IF(AND(VLOOKUP($B243,Ref_Acuerdos!$A:$E,2,FALSE())="PTA",$A243&gt;=VLOOKUP($B243,Ref_Acuerdos!$A:$E,3,FALSE())),1,0),0)</f>
        <v>0</v>
      </c>
      <c r="J243" s="7" t="str">
        <f aca="false">IFERROR(IF($A243&gt;=VLOOKUP($B243,Ref_Acuerdos!$A:$E,3,FALSE()),VLOOKUP($B243,Ref_Acuerdos!$A:$E,4,FALSE()),""),"")</f>
        <v/>
      </c>
      <c r="K243" s="4" t="str">
        <f aca="false">IFERROR(IF($A243&gt;=VLOOKUP($B243,Ref_Acuerdos!$A:$E,3,FALSE()),VLOOKUP($B243,Ref_Acuerdos!$A:$E,5,FALSE()),"Sin FTA/PTA vigente ese año - arancel NMF"),"Sin FTA/PTA identificado - arancel NMF")</f>
        <v>Sin FTA/PTA identificado - arancel NMF</v>
      </c>
    </row>
    <row r="244" customFormat="false" ht="15" hidden="false" customHeight="false" outlineLevel="0" collapsed="false">
      <c r="A244" s="2" t="n">
        <v>2012</v>
      </c>
      <c r="B244" s="2" t="s">
        <v>41</v>
      </c>
      <c r="C244" s="4" t="str">
        <f aca="false">IFERROR(VLOOKUP($B244,Ref_Continente!$A:$B,2,FALSE()),"Sin clasificar")</f>
        <v>Europe</v>
      </c>
      <c r="D244" s="5" t="n">
        <v>50</v>
      </c>
      <c r="E244" s="6" t="n">
        <v>600</v>
      </c>
      <c r="F244" s="6" t="n">
        <v>10450</v>
      </c>
      <c r="G244" s="5" t="n">
        <v>257443384492.97</v>
      </c>
      <c r="H244" s="4" t="n">
        <f aca="false">IFERROR(IF(AND(VLOOKUP($B244,Ref_Acuerdos!$A:$E,2,FALSE())="FTA",$A244&gt;=VLOOKUP($B244,Ref_Acuerdos!$A:$E,3,FALSE())),1,0),0)</f>
        <v>0</v>
      </c>
      <c r="I244" s="4" t="n">
        <f aca="false">IFERROR(IF(AND(VLOOKUP($B244,Ref_Acuerdos!$A:$E,2,FALSE())="PTA",$A244&gt;=VLOOKUP($B244,Ref_Acuerdos!$A:$E,3,FALSE())),1,0),0)</f>
        <v>0</v>
      </c>
      <c r="J244" s="7" t="str">
        <f aca="false">IFERROR(IF($A244&gt;=VLOOKUP($B244,Ref_Acuerdos!$A:$E,3,FALSE()),VLOOKUP($B244,Ref_Acuerdos!$A:$E,4,FALSE()),""),"")</f>
        <v/>
      </c>
      <c r="K244" s="4" t="str">
        <f aca="false">IFERROR(IF($A244&gt;=VLOOKUP($B244,Ref_Acuerdos!$A:$E,3,FALSE()),VLOOKUP($B244,Ref_Acuerdos!$A:$E,5,FALSE()),"Sin FTA/PTA vigente ese año - arancel NMF"),"Sin FTA/PTA identificado - arancel NMF")</f>
        <v>Sin FTA/PTA vigente ese año - arancel NMF</v>
      </c>
    </row>
    <row r="245" customFormat="false" ht="15" hidden="false" customHeight="false" outlineLevel="0" collapsed="false">
      <c r="A245" s="2" t="n">
        <v>2012</v>
      </c>
      <c r="B245" s="2" t="s">
        <v>36</v>
      </c>
      <c r="C245" s="4" t="str">
        <f aca="false">IFERROR(VLOOKUP($B245,Ref_Continente!$A:$B,2,FALSE()),"Sin clasificar")</f>
        <v>Asia</v>
      </c>
      <c r="D245" s="5" t="n">
        <v>16</v>
      </c>
      <c r="E245" s="6" t="n">
        <v>68</v>
      </c>
      <c r="F245" s="6" t="n">
        <v>14800</v>
      </c>
      <c r="G245" s="5"/>
      <c r="H245" s="4" t="n">
        <f aca="false">IFERROR(IF(AND(VLOOKUP($B245,Ref_Acuerdos!$A:$E,2,FALSE())="FTA",$A245&gt;=VLOOKUP($B245,Ref_Acuerdos!$A:$E,3,FALSE())),1,0),0)</f>
        <v>0</v>
      </c>
      <c r="I245" s="4" t="n">
        <f aca="false">IFERROR(IF(AND(VLOOKUP($B245,Ref_Acuerdos!$A:$E,2,FALSE())="PTA",$A245&gt;=VLOOKUP($B245,Ref_Acuerdos!$A:$E,3,FALSE())),1,0),0)</f>
        <v>0</v>
      </c>
      <c r="J245" s="7" t="str">
        <f aca="false">IFERROR(IF($A245&gt;=VLOOKUP($B245,Ref_Acuerdos!$A:$E,3,FALSE()),VLOOKUP($B245,Ref_Acuerdos!$A:$E,4,FALSE()),""),"")</f>
        <v/>
      </c>
      <c r="K245" s="4" t="str">
        <f aca="false">IFERROR(IF($A245&gt;=VLOOKUP($B245,Ref_Acuerdos!$A:$E,3,FALSE()),VLOOKUP($B245,Ref_Acuerdos!$A:$E,5,FALSE()),"Sin FTA/PTA vigente ese año - arancel NMF"),"Sin FTA/PTA identificado - arancel NMF")</f>
        <v>Sin FTA/PTA identificado - arancel NMF</v>
      </c>
    </row>
    <row r="246" customFormat="false" ht="15" hidden="false" customHeight="false" outlineLevel="0" collapsed="false">
      <c r="A246" s="2" t="n">
        <v>2013</v>
      </c>
      <c r="B246" s="2" t="s">
        <v>114</v>
      </c>
      <c r="C246" s="4" t="str">
        <f aca="false">IFERROR(VLOOKUP($B246,Ref_Continente!$A:$B,2,FALSE()),"Sin clasificar")</f>
        <v>North America</v>
      </c>
      <c r="D246" s="5" t="n">
        <v>7794571</v>
      </c>
      <c r="E246" s="6" t="n">
        <v>1980658</v>
      </c>
      <c r="F246" s="6" t="n">
        <v>4550</v>
      </c>
      <c r="G246" s="5" t="n">
        <v>16843190993000</v>
      </c>
      <c r="H246" s="4" t="n">
        <f aca="false">IFERROR(IF(AND(VLOOKUP($B246,Ref_Acuerdos!$A:$E,2,FALSE())="FTA",$A246&gt;=VLOOKUP($B246,Ref_Acuerdos!$A:$E,3,FALSE())),1,0),0)</f>
        <v>0</v>
      </c>
      <c r="I246" s="4" t="n">
        <f aca="false">IFERROR(IF(AND(VLOOKUP($B246,Ref_Acuerdos!$A:$E,2,FALSE())="PTA",$A246&gt;=VLOOKUP($B246,Ref_Acuerdos!$A:$E,3,FALSE())),1,0),0)</f>
        <v>0</v>
      </c>
      <c r="J246" s="7" t="str">
        <f aca="false">IFERROR(IF($A246&gt;=VLOOKUP($B246,Ref_Acuerdos!$A:$E,3,FALSE()),VLOOKUP($B246,Ref_Acuerdos!$A:$E,4,FALSE()),""),"")</f>
        <v/>
      </c>
      <c r="K246" s="4" t="str">
        <f aca="false">IFERROR(IF($A246&gt;=VLOOKUP($B246,Ref_Acuerdos!$A:$E,3,FALSE()),VLOOKUP($B246,Ref_Acuerdos!$A:$E,5,FALSE()),"Sin FTA/PTA vigente ese año - arancel NMF"),"Sin FTA/PTA identificado - arancel NMF")</f>
        <v>Sin FTA/PTA identificado - arancel NMF</v>
      </c>
    </row>
    <row r="247" customFormat="false" ht="15" hidden="false" customHeight="false" outlineLevel="0" collapsed="false">
      <c r="A247" s="2" t="n">
        <v>2013</v>
      </c>
      <c r="B247" s="2" t="s">
        <v>96</v>
      </c>
      <c r="C247" s="4" t="str">
        <f aca="false">IFERROR(VLOOKUP($B247,Ref_Continente!$A:$B,2,FALSE()),"Sin clasificar")</f>
        <v>Europe</v>
      </c>
      <c r="D247" s="5" t="n">
        <v>5652714</v>
      </c>
      <c r="E247" s="6" t="n">
        <v>1499965</v>
      </c>
      <c r="F247" s="6" t="n">
        <v>12000</v>
      </c>
      <c r="G247" s="5" t="n">
        <v>2292470078346.22</v>
      </c>
      <c r="H247" s="4" t="n">
        <f aca="false">IFERROR(IF(AND(VLOOKUP($B247,Ref_Acuerdos!$A:$E,2,FALSE())="FTA",$A247&gt;=VLOOKUP($B247,Ref_Acuerdos!$A:$E,3,FALSE())),1,0),0)</f>
        <v>0</v>
      </c>
      <c r="I247" s="4" t="n">
        <f aca="false">IFERROR(IF(AND(VLOOKUP($B247,Ref_Acuerdos!$A:$E,2,FALSE())="PTA",$A247&gt;=VLOOKUP($B247,Ref_Acuerdos!$A:$E,3,FALSE())),1,0),0)</f>
        <v>0</v>
      </c>
      <c r="J247" s="7" t="str">
        <f aca="false">IFERROR(IF($A247&gt;=VLOOKUP($B247,Ref_Acuerdos!$A:$E,3,FALSE()),VLOOKUP($B247,Ref_Acuerdos!$A:$E,4,FALSE()),""),"")</f>
        <v/>
      </c>
      <c r="K247" s="4" t="str">
        <f aca="false">IFERROR(IF($A247&gt;=VLOOKUP($B247,Ref_Acuerdos!$A:$E,3,FALSE()),VLOOKUP($B247,Ref_Acuerdos!$A:$E,5,FALSE()),"Sin FTA/PTA vigente ese año - arancel NMF"),"Sin FTA/PTA identificado - arancel NMF")</f>
        <v>Sin FTA/PTA identificado - arancel NMF</v>
      </c>
    </row>
    <row r="248" customFormat="false" ht="15" hidden="false" customHeight="false" outlineLevel="0" collapsed="false">
      <c r="A248" s="2" t="n">
        <v>2013</v>
      </c>
      <c r="B248" s="2" t="s">
        <v>77</v>
      </c>
      <c r="C248" s="4" t="str">
        <f aca="false">IFERROR(VLOOKUP($B248,Ref_Continente!$A:$B,2,FALSE()),"Sin clasificar")</f>
        <v>Europe</v>
      </c>
      <c r="D248" s="5" t="n">
        <v>1017812</v>
      </c>
      <c r="E248" s="6" t="n">
        <v>262077</v>
      </c>
      <c r="F248" s="6" t="n">
        <v>9300</v>
      </c>
      <c r="G248" s="5" t="n">
        <v>883951539006.67</v>
      </c>
      <c r="H248" s="4" t="n">
        <f aca="false">IFERROR(IF(AND(VLOOKUP($B248,Ref_Acuerdos!$A:$E,2,FALSE())="FTA",$A248&gt;=VLOOKUP($B248,Ref_Acuerdos!$A:$E,3,FALSE())),1,0),0)</f>
        <v>0</v>
      </c>
      <c r="I248" s="4" t="n">
        <f aca="false">IFERROR(IF(AND(VLOOKUP($B248,Ref_Acuerdos!$A:$E,2,FALSE())="PTA",$A248&gt;=VLOOKUP($B248,Ref_Acuerdos!$A:$E,3,FALSE())),1,0),0)</f>
        <v>0</v>
      </c>
      <c r="J248" s="7" t="str">
        <f aca="false">IFERROR(IF($A248&gt;=VLOOKUP($B248,Ref_Acuerdos!$A:$E,3,FALSE()),VLOOKUP($B248,Ref_Acuerdos!$A:$E,4,FALSE()),""),"")</f>
        <v/>
      </c>
      <c r="K248" s="4" t="str">
        <f aca="false">IFERROR(IF($A248&gt;=VLOOKUP($B248,Ref_Acuerdos!$A:$E,3,FALSE()),VLOOKUP($B248,Ref_Acuerdos!$A:$E,5,FALSE()),"Sin FTA/PTA vigente ese año - arancel NMF"),"Sin FTA/PTA identificado - arancel NMF")</f>
        <v>Sin FTA/PTA vigente ese año - arancel NMF</v>
      </c>
    </row>
    <row r="249" customFormat="false" ht="15" hidden="false" customHeight="false" outlineLevel="0" collapsed="false">
      <c r="A249" s="2" t="n">
        <v>2013</v>
      </c>
      <c r="B249" s="2" t="s">
        <v>61</v>
      </c>
      <c r="C249" s="4" t="str">
        <f aca="false">IFERROR(VLOOKUP($B249,Ref_Continente!$A:$B,2,FALSE()),"Sin clasificar")</f>
        <v>Asia</v>
      </c>
      <c r="D249" s="5" t="n">
        <v>890455</v>
      </c>
      <c r="E249" s="6" t="n">
        <v>181467</v>
      </c>
      <c r="F249" s="6" t="n">
        <v>14500</v>
      </c>
      <c r="G249" s="5" t="n">
        <v>5212328181166.18</v>
      </c>
      <c r="H249" s="4" t="n">
        <f aca="false">IFERROR(IF(AND(VLOOKUP($B249,Ref_Acuerdos!$A:$E,2,FALSE())="FTA",$A249&gt;=VLOOKUP($B249,Ref_Acuerdos!$A:$E,3,FALSE())),1,0),0)</f>
        <v>0</v>
      </c>
      <c r="I249" s="4" t="n">
        <f aca="false">IFERROR(IF(AND(VLOOKUP($B249,Ref_Acuerdos!$A:$E,2,FALSE())="PTA",$A249&gt;=VLOOKUP($B249,Ref_Acuerdos!$A:$E,3,FALSE())),1,0),0)</f>
        <v>0</v>
      </c>
      <c r="J249" s="7" t="str">
        <f aca="false">IFERROR(IF($A249&gt;=VLOOKUP($B249,Ref_Acuerdos!$A:$E,3,FALSE()),VLOOKUP($B249,Ref_Acuerdos!$A:$E,4,FALSE()),""),"")</f>
        <v/>
      </c>
      <c r="K249" s="4" t="str">
        <f aca="false">IFERROR(IF($A249&gt;=VLOOKUP($B249,Ref_Acuerdos!$A:$E,3,FALSE()),VLOOKUP($B249,Ref_Acuerdos!$A:$E,5,FALSE()),"Sin FTA/PTA vigente ese año - arancel NMF"),"Sin FTA/PTA identificado - arancel NMF")</f>
        <v>Sin FTA/PTA identificado - arancel NMF</v>
      </c>
    </row>
    <row r="250" customFormat="false" ht="15" hidden="false" customHeight="false" outlineLevel="0" collapsed="false">
      <c r="A250" s="2" t="n">
        <v>2013</v>
      </c>
      <c r="B250" s="2" t="s">
        <v>105</v>
      </c>
      <c r="C250" s="4" t="str">
        <f aca="false">IFERROR(VLOOKUP($B250,Ref_Continente!$A:$B,2,FALSE()),"Sin clasificar")</f>
        <v>Europe</v>
      </c>
      <c r="D250" s="5" t="n">
        <v>522157</v>
      </c>
      <c r="E250" s="6" t="n">
        <v>140299</v>
      </c>
      <c r="F250" s="6" t="n">
        <v>8700</v>
      </c>
      <c r="G250" s="5" t="n">
        <v>1362186923157.65</v>
      </c>
      <c r="H250" s="4" t="n">
        <f aca="false">IFERROR(IF(AND(VLOOKUP($B250,Ref_Acuerdos!$A:$E,2,FALSE())="FTA",$A250&gt;=VLOOKUP($B250,Ref_Acuerdos!$A:$E,3,FALSE())),1,0),0)</f>
        <v>0</v>
      </c>
      <c r="I250" s="4" t="n">
        <f aca="false">IFERROR(IF(AND(VLOOKUP($B250,Ref_Acuerdos!$A:$E,2,FALSE())="PTA",$A250&gt;=VLOOKUP($B250,Ref_Acuerdos!$A:$E,3,FALSE())),1,0),0)</f>
        <v>0</v>
      </c>
      <c r="J250" s="7" t="str">
        <f aca="false">IFERROR(IF($A250&gt;=VLOOKUP($B250,Ref_Acuerdos!$A:$E,3,FALSE()),VLOOKUP($B250,Ref_Acuerdos!$A:$E,4,FALSE()),""),"")</f>
        <v/>
      </c>
      <c r="K250" s="4" t="str">
        <f aca="false">IFERROR(IF($A250&gt;=VLOOKUP($B250,Ref_Acuerdos!$A:$E,3,FALSE()),VLOOKUP($B250,Ref_Acuerdos!$A:$E,5,FALSE()),"Sin FTA/PTA vigente ese año - arancel NMF"),"Sin FTA/PTA identificado - arancel NMF")</f>
        <v>Sin FTA/PTA vigente ese año - arancel NMF</v>
      </c>
    </row>
    <row r="251" customFormat="false" ht="15" hidden="false" customHeight="false" outlineLevel="0" collapsed="false">
      <c r="A251" s="2" t="n">
        <v>2013</v>
      </c>
      <c r="B251" s="2" t="s">
        <v>115</v>
      </c>
      <c r="C251" s="4" t="str">
        <f aca="false">IFERROR(VLOOKUP($B251,Ref_Continente!$A:$B,2,FALSE()),"Sin clasificar")</f>
        <v>Europe</v>
      </c>
      <c r="D251" s="5" t="n">
        <v>459816</v>
      </c>
      <c r="E251" s="6" t="n">
        <v>124481</v>
      </c>
      <c r="F251" s="6" t="n">
        <v>11</v>
      </c>
      <c r="G251" s="5" t="n">
        <v>190498811460.03</v>
      </c>
      <c r="H251" s="4" t="n">
        <f aca="false">IFERROR(IF(AND(VLOOKUP($B251,Ref_Acuerdos!$A:$E,2,FALSE())="FTA",$A251&gt;=VLOOKUP($B251,Ref_Acuerdos!$A:$E,3,FALSE())),1,0),0)</f>
        <v>0</v>
      </c>
      <c r="I251" s="4" t="n">
        <f aca="false">IFERROR(IF(AND(VLOOKUP($B251,Ref_Acuerdos!$A:$E,2,FALSE())="PTA",$A251&gt;=VLOOKUP($B251,Ref_Acuerdos!$A:$E,3,FALSE())),1,0),0)</f>
        <v>0</v>
      </c>
      <c r="J251" s="7" t="str">
        <f aca="false">IFERROR(IF($A251&gt;=VLOOKUP($B251,Ref_Acuerdos!$A:$E,3,FALSE()),VLOOKUP($B251,Ref_Acuerdos!$A:$E,4,FALSE()),""),"")</f>
        <v/>
      </c>
      <c r="K251" s="4" t="str">
        <f aca="false">IFERROR(IF($A251&gt;=VLOOKUP($B251,Ref_Acuerdos!$A:$E,3,FALSE()),VLOOKUP($B251,Ref_Acuerdos!$A:$E,5,FALSE()),"Sin FTA/PTA vigente ese año - arancel NMF"),"Sin FTA/PTA identificado - arancel NMF")</f>
        <v>Sin FTA/PTA identificado - arancel NMF</v>
      </c>
    </row>
    <row r="252" customFormat="false" ht="15" hidden="false" customHeight="false" outlineLevel="0" collapsed="false">
      <c r="A252" s="2" t="n">
        <v>2013</v>
      </c>
      <c r="B252" s="2" t="s">
        <v>26</v>
      </c>
      <c r="C252" s="4" t="str">
        <f aca="false">IFERROR(VLOOKUP($B252,Ref_Continente!$A:$B,2,FALSE()),"Sin clasificar")</f>
        <v>South America</v>
      </c>
      <c r="D252" s="5" t="n">
        <v>429310</v>
      </c>
      <c r="E252" s="6" t="n">
        <v>115967</v>
      </c>
      <c r="F252" s="6" t="n">
        <v>2600</v>
      </c>
      <c r="G252" s="5" t="n">
        <v>277395018842.42</v>
      </c>
      <c r="H252" s="4" t="n">
        <f aca="false">IFERROR(IF(AND(VLOOKUP($B252,Ref_Acuerdos!$A:$E,2,FALSE())="FTA",$A252&gt;=VLOOKUP($B252,Ref_Acuerdos!$A:$E,3,FALSE())),1,0),0)</f>
        <v>1</v>
      </c>
      <c r="I252" s="4" t="n">
        <f aca="false">IFERROR(IF(AND(VLOOKUP($B252,Ref_Acuerdos!$A:$E,2,FALSE())="PTA",$A252&gt;=VLOOKUP($B252,Ref_Acuerdos!$A:$E,3,FALSE())),1,0),0)</f>
        <v>0</v>
      </c>
      <c r="J252" s="7" t="n">
        <f aca="false">IFERROR(IF($A252&gt;=VLOOKUP($B252,Ref_Acuerdos!$A:$E,3,FALSE()),VLOOKUP($B252,Ref_Acuerdos!$A:$E,4,FALSE()),""),"")</f>
        <v>0</v>
      </c>
      <c r="K252" s="4" t="str">
        <f aca="false">IFERROR(IF($A252&gt;=VLOOKUP($B252,Ref_Acuerdos!$A:$E,3,FALSE()),VLOOKUP($B252,Ref_Acuerdos!$A:$E,5,FALSE()),"Sin FTA/PTA vigente ese año - arancel NMF"),"Sin FTA/PTA identificado - arancel NMF")</f>
        <v>Ecuador-Chile ACE 65, vigente desde 2010</v>
      </c>
    </row>
    <row r="253" customFormat="false" ht="15" hidden="false" customHeight="false" outlineLevel="0" collapsed="false">
      <c r="A253" s="2" t="n">
        <v>2013</v>
      </c>
      <c r="B253" s="2" t="s">
        <v>25</v>
      </c>
      <c r="C253" s="4" t="str">
        <f aca="false">IFERROR(VLOOKUP($B253,Ref_Continente!$A:$B,2,FALSE()),"Sin clasificar")</f>
        <v>North America</v>
      </c>
      <c r="D253" s="5" t="n">
        <v>304923</v>
      </c>
      <c r="E253" s="6" t="n">
        <v>45996</v>
      </c>
      <c r="F253" s="6" t="n">
        <v>5900</v>
      </c>
      <c r="G253" s="5" t="n">
        <v>1846597421834.98</v>
      </c>
      <c r="H253" s="4" t="n">
        <f aca="false">IFERROR(IF(AND(VLOOKUP($B253,Ref_Acuerdos!$A:$E,2,FALSE())="FTA",$A253&gt;=VLOOKUP($B253,Ref_Acuerdos!$A:$E,3,FALSE())),1,0),0)</f>
        <v>0</v>
      </c>
      <c r="I253" s="4" t="n">
        <f aca="false">IFERROR(IF(AND(VLOOKUP($B253,Ref_Acuerdos!$A:$E,2,FALSE())="PTA",$A253&gt;=VLOOKUP($B253,Ref_Acuerdos!$A:$E,3,FALSE())),1,0),0)</f>
        <v>0</v>
      </c>
      <c r="J253" s="7" t="str">
        <f aca="false">IFERROR(IF($A253&gt;=VLOOKUP($B253,Ref_Acuerdos!$A:$E,3,FALSE()),VLOOKUP($B253,Ref_Acuerdos!$A:$E,4,FALSE()),""),"")</f>
        <v/>
      </c>
      <c r="K253" s="4" t="str">
        <f aca="false">IFERROR(IF($A253&gt;=VLOOKUP($B253,Ref_Acuerdos!$A:$E,3,FALSE()),VLOOKUP($B253,Ref_Acuerdos!$A:$E,5,FALSE()),"Sin FTA/PTA vigente ese año - arancel NMF"),"Sin FTA/PTA identificado - arancel NMF")</f>
        <v>Sin FTA/PTA identificado - arancel NMF</v>
      </c>
    </row>
    <row r="254" customFormat="false" ht="15" hidden="false" customHeight="false" outlineLevel="0" collapsed="false">
      <c r="A254" s="2" t="n">
        <v>2013</v>
      </c>
      <c r="B254" s="2" t="s">
        <v>59</v>
      </c>
      <c r="C254" s="4" t="str">
        <f aca="false">IFERROR(VLOOKUP($B254,Ref_Continente!$A:$B,2,FALSE()),"Sin clasificar")</f>
        <v>Europe</v>
      </c>
      <c r="D254" s="5" t="n">
        <v>273898</v>
      </c>
      <c r="E254" s="6" t="n">
        <v>67051</v>
      </c>
      <c r="F254" s="6" t="n">
        <v>10100</v>
      </c>
      <c r="G254" s="5" t="n">
        <v>2153225581941.46</v>
      </c>
      <c r="H254" s="4" t="n">
        <f aca="false">IFERROR(IF(AND(VLOOKUP($B254,Ref_Acuerdos!$A:$E,2,FALSE())="FTA",$A254&gt;=VLOOKUP($B254,Ref_Acuerdos!$A:$E,3,FALSE())),1,0),0)</f>
        <v>0</v>
      </c>
      <c r="I254" s="4" t="n">
        <f aca="false">IFERROR(IF(AND(VLOOKUP($B254,Ref_Acuerdos!$A:$E,2,FALSE())="PTA",$A254&gt;=VLOOKUP($B254,Ref_Acuerdos!$A:$E,3,FALSE())),1,0),0)</f>
        <v>0</v>
      </c>
      <c r="J254" s="7" t="str">
        <f aca="false">IFERROR(IF($A254&gt;=VLOOKUP($B254,Ref_Acuerdos!$A:$E,3,FALSE()),VLOOKUP($B254,Ref_Acuerdos!$A:$E,4,FALSE()),""),"")</f>
        <v/>
      </c>
      <c r="K254" s="4" t="str">
        <f aca="false">IFERROR(IF($A254&gt;=VLOOKUP($B254,Ref_Acuerdos!$A:$E,3,FALSE()),VLOOKUP($B254,Ref_Acuerdos!$A:$E,5,FALSE()),"Sin FTA/PTA vigente ese año - arancel NMF"),"Sin FTA/PTA identificado - arancel NMF")</f>
        <v>Sin FTA/PTA vigente ese año - arancel NMF</v>
      </c>
    </row>
    <row r="255" customFormat="false" ht="15" hidden="false" customHeight="false" outlineLevel="0" collapsed="false">
      <c r="A255" s="2" t="n">
        <v>2013</v>
      </c>
      <c r="B255" s="2" t="s">
        <v>88</v>
      </c>
      <c r="C255" s="4" t="str">
        <f aca="false">IFERROR(VLOOKUP($B255,Ref_Continente!$A:$B,2,FALSE()),"Sin clasificar")</f>
        <v>South America</v>
      </c>
      <c r="D255" s="5" t="n">
        <v>133361</v>
      </c>
      <c r="E255" s="6" t="n">
        <v>92777</v>
      </c>
      <c r="F255" s="6" t="n">
        <v>1320</v>
      </c>
      <c r="G255" s="5" t="n">
        <v>201175543571.39</v>
      </c>
      <c r="H255" s="4" t="n">
        <f aca="false">IFERROR(IF(AND(VLOOKUP($B255,Ref_Acuerdos!$A:$E,2,FALSE())="FTA",$A255&gt;=VLOOKUP($B255,Ref_Acuerdos!$A:$E,3,FALSE())),1,0),0)</f>
        <v>0</v>
      </c>
      <c r="I255" s="4" t="n">
        <f aca="false">IFERROR(IF(AND(VLOOKUP($B255,Ref_Acuerdos!$A:$E,2,FALSE())="PTA",$A255&gt;=VLOOKUP($B255,Ref_Acuerdos!$A:$E,3,FALSE())),1,0),0)</f>
        <v>1</v>
      </c>
      <c r="J255" s="7" t="n">
        <f aca="false">IFERROR(IF($A255&gt;=VLOOKUP($B255,Ref_Acuerdos!$A:$E,3,FALSE()),VLOOKUP($B255,Ref_Acuerdos!$A:$E,4,FALSE()),""),"")</f>
        <v>0</v>
      </c>
      <c r="K255" s="4" t="str">
        <f aca="false">IFERROR(IF($A255&gt;=VLOOKUP($B255,Ref_Acuerdos!$A:$E,3,FALSE()),VLOOKUP($B255,Ref_Acuerdos!$A:$E,5,FALSE()),"Sin FTA/PTA vigente ese año - arancel NMF"),"Sin FTA/PTA identificado - arancel NMF")</f>
        <v>Comunidad Andina (CAN) - libre comercio intracomunitario</v>
      </c>
    </row>
    <row r="256" customFormat="false" ht="15" hidden="false" customHeight="false" outlineLevel="0" collapsed="false">
      <c r="A256" s="2" t="n">
        <v>2013</v>
      </c>
      <c r="B256" s="2" t="s">
        <v>37</v>
      </c>
      <c r="C256" s="4" t="str">
        <f aca="false">IFERROR(VLOOKUP($B256,Ref_Continente!$A:$B,2,FALSE()),"Sin clasificar")</f>
        <v>North America</v>
      </c>
      <c r="D256" s="5" t="n">
        <v>120950</v>
      </c>
      <c r="E256" s="6" t="n">
        <v>26937</v>
      </c>
      <c r="F256" s="6" t="n">
        <v>2200</v>
      </c>
      <c r="G256" s="5" t="n">
        <v>62555417414.58</v>
      </c>
      <c r="H256" s="4" t="n">
        <f aca="false">IFERROR(IF(AND(VLOOKUP($B256,Ref_Acuerdos!$A:$E,2,FALSE())="FTA",$A256&gt;=VLOOKUP($B256,Ref_Acuerdos!$A:$E,3,FALSE())),1,0),0)</f>
        <v>0</v>
      </c>
      <c r="I256" s="4" t="n">
        <f aca="false">IFERROR(IF(AND(VLOOKUP($B256,Ref_Acuerdos!$A:$E,2,FALSE())="PTA",$A256&gt;=VLOOKUP($B256,Ref_Acuerdos!$A:$E,3,FALSE())),1,0),0)</f>
        <v>0</v>
      </c>
      <c r="J256" s="7" t="str">
        <f aca="false">IFERROR(IF($A256&gt;=VLOOKUP($B256,Ref_Acuerdos!$A:$E,3,FALSE()),VLOOKUP($B256,Ref_Acuerdos!$A:$E,4,FALSE()),""),"")</f>
        <v/>
      </c>
      <c r="K256" s="4" t="str">
        <f aca="false">IFERROR(IF($A256&gt;=VLOOKUP($B256,Ref_Acuerdos!$A:$E,3,FALSE()),VLOOKUP($B256,Ref_Acuerdos!$A:$E,5,FALSE()),"Sin FTA/PTA vigente ese año - arancel NMF"),"Sin FTA/PTA identificado - arancel NMF")</f>
        <v>Sin FTA/PTA identificado - arancel NMF</v>
      </c>
    </row>
    <row r="257" customFormat="false" ht="15" hidden="false" customHeight="false" outlineLevel="0" collapsed="false">
      <c r="A257" s="2" t="n">
        <v>2013</v>
      </c>
      <c r="B257" s="2" t="s">
        <v>118</v>
      </c>
      <c r="C257" s="4" t="str">
        <f aca="false">IFERROR(VLOOKUP($B257,Ref_Continente!$A:$B,2,FALSE()),"Sin clasificar")</f>
        <v>South America</v>
      </c>
      <c r="D257" s="5" t="n">
        <v>117826</v>
      </c>
      <c r="E257" s="6" t="n">
        <v>25209</v>
      </c>
      <c r="F257" s="6" t="n">
        <v>4650</v>
      </c>
      <c r="G257" s="5" t="n">
        <v>61337621933.79</v>
      </c>
      <c r="H257" s="4" t="n">
        <f aca="false">IFERROR(IF(AND(VLOOKUP($B257,Ref_Acuerdos!$A:$E,2,FALSE())="FTA",$A257&gt;=VLOOKUP($B257,Ref_Acuerdos!$A:$E,3,FALSE())),1,0),0)</f>
        <v>0</v>
      </c>
      <c r="I257" s="4" t="n">
        <f aca="false">IFERROR(IF(AND(VLOOKUP($B257,Ref_Acuerdos!$A:$E,2,FALSE())="PTA",$A257&gt;=VLOOKUP($B257,Ref_Acuerdos!$A:$E,3,FALSE())),1,0),0)</f>
        <v>1</v>
      </c>
      <c r="J257" s="7" t="n">
        <f aca="false">IFERROR(IF($A257&gt;=VLOOKUP($B257,Ref_Acuerdos!$A:$E,3,FALSE()),VLOOKUP($B257,Ref_Acuerdos!$A:$E,4,FALSE()),""),"")</f>
        <v>5</v>
      </c>
      <c r="K257" s="4" t="str">
        <f aca="false">IFERROR(IF($A257&gt;=VLOOKUP($B257,Ref_Acuerdos!$A:$E,3,FALSE()),VLOOKUP($B257,Ref_Acuerdos!$A:$E,5,FALSE()),"Sin FTA/PTA vigente ese año - arancel NMF"),"Sin FTA/PTA identificado - arancel NMF")</f>
        <v>Ecuador-Mercosur ACE 59 - preferencias parciales (tarifa referencial)</v>
      </c>
    </row>
    <row r="258" customFormat="false" ht="15" hidden="false" customHeight="false" outlineLevel="0" collapsed="false">
      <c r="A258" s="2" t="n">
        <v>2013</v>
      </c>
      <c r="B258" s="2" t="s">
        <v>63</v>
      </c>
      <c r="C258" s="4" t="str">
        <f aca="false">IFERROR(VLOOKUP($B258,Ref_Continente!$A:$B,2,FALSE()),"Sin clasificar")</f>
        <v>Asia</v>
      </c>
      <c r="D258" s="5" t="n">
        <v>86069</v>
      </c>
      <c r="E258" s="6" t="n">
        <v>28098</v>
      </c>
      <c r="F258" s="6" t="n">
        <v>13600</v>
      </c>
      <c r="G258" s="5" t="n">
        <v>236634603409.09</v>
      </c>
      <c r="H258" s="4" t="n">
        <f aca="false">IFERROR(IF(AND(VLOOKUP($B258,Ref_Acuerdos!$A:$E,2,FALSE())="FTA",$A258&gt;=VLOOKUP($B258,Ref_Acuerdos!$A:$E,3,FALSE())),1,0),0)</f>
        <v>0</v>
      </c>
      <c r="I258" s="4" t="n">
        <f aca="false">IFERROR(IF(AND(VLOOKUP($B258,Ref_Acuerdos!$A:$E,2,FALSE())="PTA",$A258&gt;=VLOOKUP($B258,Ref_Acuerdos!$A:$E,3,FALSE())),1,0),0)</f>
        <v>0</v>
      </c>
      <c r="J258" s="7" t="str">
        <f aca="false">IFERROR(IF($A258&gt;=VLOOKUP($B258,Ref_Acuerdos!$A:$E,3,FALSE()),VLOOKUP($B258,Ref_Acuerdos!$A:$E,4,FALSE()),""),"")</f>
        <v/>
      </c>
      <c r="K258" s="4" t="str">
        <f aca="false">IFERROR(IF($A258&gt;=VLOOKUP($B258,Ref_Acuerdos!$A:$E,3,FALSE()),VLOOKUP($B258,Ref_Acuerdos!$A:$E,5,FALSE()),"Sin FTA/PTA vigente ese año - arancel NMF"),"Sin FTA/PTA identificado - arancel NMF")</f>
        <v>Sin FTA/PTA identificado - arancel NMF</v>
      </c>
    </row>
    <row r="259" customFormat="false" ht="15" hidden="false" customHeight="false" outlineLevel="0" collapsed="false">
      <c r="A259" s="2" t="n">
        <v>2013</v>
      </c>
      <c r="B259" s="2" t="s">
        <v>68</v>
      </c>
      <c r="C259" s="4" t="str">
        <f aca="false">IFERROR(VLOOKUP($B259,Ref_Continente!$A:$B,2,FALSE()),"Sin clasificar")</f>
        <v>Europe</v>
      </c>
      <c r="D259" s="5" t="n">
        <v>79642</v>
      </c>
      <c r="E259" s="6" t="n">
        <v>20495</v>
      </c>
      <c r="F259" s="6" t="n">
        <v>10250</v>
      </c>
      <c r="G259" s="5" t="n">
        <v>46303660422.04</v>
      </c>
      <c r="H259" s="4" t="n">
        <f aca="false">IFERROR(IF(AND(VLOOKUP($B259,Ref_Acuerdos!$A:$E,2,FALSE())="FTA",$A259&gt;=VLOOKUP($B259,Ref_Acuerdos!$A:$E,3,FALSE())),1,0),0)</f>
        <v>0</v>
      </c>
      <c r="I259" s="4" t="n">
        <f aca="false">IFERROR(IF(AND(VLOOKUP($B259,Ref_Acuerdos!$A:$E,2,FALSE())="PTA",$A259&gt;=VLOOKUP($B259,Ref_Acuerdos!$A:$E,3,FALSE())),1,0),0)</f>
        <v>0</v>
      </c>
      <c r="J259" s="7" t="str">
        <f aca="false">IFERROR(IF($A259&gt;=VLOOKUP($B259,Ref_Acuerdos!$A:$E,3,FALSE()),VLOOKUP($B259,Ref_Acuerdos!$A:$E,4,FALSE()),""),"")</f>
        <v/>
      </c>
      <c r="K259" s="4" t="str">
        <f aca="false">IFERROR(IF($A259&gt;=VLOOKUP($B259,Ref_Acuerdos!$A:$E,3,FALSE()),VLOOKUP($B259,Ref_Acuerdos!$A:$E,5,FALSE()),"Sin FTA/PTA vigente ese año - arancel NMF"),"Sin FTA/PTA identificado - arancel NMF")</f>
        <v>Sin FTA/PTA vigente ese año - arancel NMF</v>
      </c>
    </row>
    <row r="260" customFormat="false" ht="15" hidden="false" customHeight="false" outlineLevel="0" collapsed="false">
      <c r="A260" s="2" t="n">
        <v>2013</v>
      </c>
      <c r="B260" s="2" t="s">
        <v>92</v>
      </c>
      <c r="C260" s="4" t="str">
        <f aca="false">IFERROR(VLOOKUP($B260,Ref_Continente!$A:$B,2,FALSE()),"Sin clasificar")</f>
        <v>Asia</v>
      </c>
      <c r="D260" s="5" t="n">
        <v>68290</v>
      </c>
      <c r="E260" s="6" t="n">
        <v>16896</v>
      </c>
      <c r="F260" s="6" t="n">
        <v>14000</v>
      </c>
      <c r="G260" s="5" t="n">
        <v>198727747252.75</v>
      </c>
      <c r="H260" s="4" t="n">
        <f aca="false">IFERROR(IF(AND(VLOOKUP($B260,Ref_Acuerdos!$A:$E,2,FALSE())="FTA",$A260&gt;=VLOOKUP($B260,Ref_Acuerdos!$A:$E,3,FALSE())),1,0),0)</f>
        <v>0</v>
      </c>
      <c r="I260" s="4" t="n">
        <f aca="false">IFERROR(IF(AND(VLOOKUP($B260,Ref_Acuerdos!$A:$E,2,FALSE())="PTA",$A260&gt;=VLOOKUP($B260,Ref_Acuerdos!$A:$E,3,FALSE())),1,0),0)</f>
        <v>0</v>
      </c>
      <c r="J260" s="7" t="str">
        <f aca="false">IFERROR(IF($A260&gt;=VLOOKUP($B260,Ref_Acuerdos!$A:$E,3,FALSE()),VLOOKUP($B260,Ref_Acuerdos!$A:$E,4,FALSE()),""),"")</f>
        <v/>
      </c>
      <c r="K260" s="4" t="str">
        <f aca="false">IFERROR(IF($A260&gt;=VLOOKUP($B260,Ref_Acuerdos!$A:$E,3,FALSE()),VLOOKUP($B260,Ref_Acuerdos!$A:$E,5,FALSE()),"Sin FTA/PTA vigente ese año - arancel NMF"),"Sin FTA/PTA identificado - arancel NMF")</f>
        <v>Sin FTA/PTA identificado - arancel NMF</v>
      </c>
    </row>
    <row r="261" customFormat="false" ht="15" hidden="false" customHeight="false" outlineLevel="0" collapsed="false">
      <c r="A261" s="2" t="n">
        <v>2013</v>
      </c>
      <c r="B261" s="2" t="s">
        <v>64</v>
      </c>
      <c r="C261" s="4" t="str">
        <f aca="false">IFERROR(VLOOKUP($B261,Ref_Continente!$A:$B,2,FALSE()),"Sin clasificar")</f>
        <v>Asia</v>
      </c>
      <c r="D261" s="5" t="n">
        <v>46672</v>
      </c>
      <c r="E261" s="6" t="n">
        <v>21044</v>
      </c>
      <c r="F261" s="6" t="n">
        <v>13500</v>
      </c>
      <c r="G261" s="5" t="n">
        <v>174168116534.84</v>
      </c>
      <c r="H261" s="4" t="n">
        <f aca="false">IFERROR(IF(AND(VLOOKUP($B261,Ref_Acuerdos!$A:$E,2,FALSE())="FTA",$A261&gt;=VLOOKUP($B261,Ref_Acuerdos!$A:$E,3,FALSE())),1,0),0)</f>
        <v>0</v>
      </c>
      <c r="I261" s="4" t="n">
        <f aca="false">IFERROR(IF(AND(VLOOKUP($B261,Ref_Acuerdos!$A:$E,2,FALSE())="PTA",$A261&gt;=VLOOKUP($B261,Ref_Acuerdos!$A:$E,3,FALSE())),1,0),0)</f>
        <v>0</v>
      </c>
      <c r="J261" s="7" t="str">
        <f aca="false">IFERROR(IF($A261&gt;=VLOOKUP($B261,Ref_Acuerdos!$A:$E,3,FALSE()),VLOOKUP($B261,Ref_Acuerdos!$A:$E,4,FALSE()),""),"")</f>
        <v/>
      </c>
      <c r="K261" s="4" t="str">
        <f aca="false">IFERROR(IF($A261&gt;=VLOOKUP($B261,Ref_Acuerdos!$A:$E,3,FALSE()),VLOOKUP($B261,Ref_Acuerdos!$A:$E,5,FALSE()),"Sin FTA/PTA vigente ese año - arancel NMF"),"Sin FTA/PTA identificado - arancel NMF")</f>
        <v>Sin FTA/PTA identificado - arancel NMF</v>
      </c>
    </row>
    <row r="262" customFormat="false" ht="15" hidden="false" customHeight="false" outlineLevel="0" collapsed="false">
      <c r="A262" s="2" t="n">
        <v>2013</v>
      </c>
      <c r="B262" s="2" t="s">
        <v>94</v>
      </c>
      <c r="C262" s="4" t="str">
        <f aca="false">IFERROR(VLOOKUP($B262,Ref_Continente!$A:$B,2,FALSE()),"Sin clasificar")</f>
        <v>Europe</v>
      </c>
      <c r="D262" s="5" t="n">
        <v>42578</v>
      </c>
      <c r="E262" s="6" t="n">
        <v>7668</v>
      </c>
      <c r="F262" s="6" t="n">
        <v>11000</v>
      </c>
      <c r="G262" s="5" t="n">
        <v>9496717875.52</v>
      </c>
      <c r="H262" s="4" t="n">
        <f aca="false">IFERROR(IF(AND(VLOOKUP($B262,Ref_Acuerdos!$A:$E,2,FALSE())="FTA",$A262&gt;=VLOOKUP($B262,Ref_Acuerdos!$A:$E,3,FALSE())),1,0),0)</f>
        <v>0</v>
      </c>
      <c r="I262" s="4" t="n">
        <f aca="false">IFERROR(IF(AND(VLOOKUP($B262,Ref_Acuerdos!$A:$E,2,FALSE())="PTA",$A262&gt;=VLOOKUP($B262,Ref_Acuerdos!$A:$E,3,FALSE())),1,0),0)</f>
        <v>0</v>
      </c>
      <c r="J262" s="7" t="str">
        <f aca="false">IFERROR(IF($A262&gt;=VLOOKUP($B262,Ref_Acuerdos!$A:$E,3,FALSE()),VLOOKUP($B262,Ref_Acuerdos!$A:$E,4,FALSE()),""),"")</f>
        <v/>
      </c>
      <c r="K262" s="4" t="str">
        <f aca="false">IFERROR(IF($A262&gt;=VLOOKUP($B262,Ref_Acuerdos!$A:$E,3,FALSE()),VLOOKUP($B262,Ref_Acuerdos!$A:$E,5,FALSE()),"Sin FTA/PTA vigente ese año - arancel NMF"),"Sin FTA/PTA identificado - arancel NMF")</f>
        <v>Sin FTA/PTA identificado - arancel NMF</v>
      </c>
    </row>
    <row r="263" customFormat="false" ht="15" hidden="false" customHeight="false" outlineLevel="0" collapsed="false">
      <c r="A263" s="2" t="n">
        <v>2013</v>
      </c>
      <c r="B263" s="2" t="s">
        <v>32</v>
      </c>
      <c r="C263" s="4" t="str">
        <f aca="false">IFERROR(VLOOKUP($B263,Ref_Continente!$A:$B,2,FALSE()),"Sin clasificar")</f>
        <v>North America</v>
      </c>
      <c r="D263" s="5" t="n">
        <v>41629</v>
      </c>
      <c r="E263" s="6" t="n">
        <v>8914</v>
      </c>
      <c r="F263" s="6" t="n">
        <v>2450</v>
      </c>
      <c r="G263" s="5" t="n">
        <v>77148000000</v>
      </c>
      <c r="H263" s="4" t="n">
        <f aca="false">IFERROR(IF(AND(VLOOKUP($B263,Ref_Acuerdos!$A:$E,2,FALSE())="FTA",$A263&gt;=VLOOKUP($B263,Ref_Acuerdos!$A:$E,3,FALSE())),1,0),0)</f>
        <v>0</v>
      </c>
      <c r="I263" s="4" t="n">
        <f aca="false">IFERROR(IF(AND(VLOOKUP($B263,Ref_Acuerdos!$A:$E,2,FALSE())="PTA",$A263&gt;=VLOOKUP($B263,Ref_Acuerdos!$A:$E,3,FALSE())),1,0),0)</f>
        <v>1</v>
      </c>
      <c r="J263" s="7" t="n">
        <f aca="false">IFERROR(IF($A263&gt;=VLOOKUP($B263,Ref_Acuerdos!$A:$E,3,FALSE()),VLOOKUP($B263,Ref_Acuerdos!$A:$E,4,FALSE()),""),"")</f>
        <v>10</v>
      </c>
      <c r="K263" s="4" t="str">
        <f aca="false">IFERROR(IF($A263&gt;=VLOOKUP($B263,Ref_Acuerdos!$A:$E,3,FALSE()),VLOOKUP($B263,Ref_Acuerdos!$A:$E,5,FALSE()),"Sin FTA/PTA vigente ese año - arancel NMF"),"Sin FTA/PTA identificado - arancel NMF")</f>
        <v>ALADI - Acuerdo de Alcance Parcial (preferencia limitada, tarifa referencial)</v>
      </c>
    </row>
    <row r="264" customFormat="false" ht="15" hidden="false" customHeight="false" outlineLevel="0" collapsed="false">
      <c r="A264" s="2" t="n">
        <v>2013</v>
      </c>
      <c r="B264" s="2" t="s">
        <v>19</v>
      </c>
      <c r="C264" s="4" t="str">
        <f aca="false">IFERROR(VLOOKUP($B264,Ref_Continente!$A:$B,2,FALSE()),"Sin clasificar")</f>
        <v>Europe</v>
      </c>
      <c r="D264" s="5" t="n">
        <v>33588</v>
      </c>
      <c r="E264" s="6" t="n">
        <v>9663</v>
      </c>
      <c r="F264" s="6" t="n">
        <v>10600</v>
      </c>
      <c r="G264" s="5" t="n">
        <v>75527558966.45</v>
      </c>
      <c r="H264" s="4" t="n">
        <f aca="false">IFERROR(IF(AND(VLOOKUP($B264,Ref_Acuerdos!$A:$E,2,FALSE())="FTA",$A264&gt;=VLOOKUP($B264,Ref_Acuerdos!$A:$E,3,FALSE())),1,0),0)</f>
        <v>0</v>
      </c>
      <c r="I264" s="4" t="n">
        <f aca="false">IFERROR(IF(AND(VLOOKUP($B264,Ref_Acuerdos!$A:$E,2,FALSE())="PTA",$A264&gt;=VLOOKUP($B264,Ref_Acuerdos!$A:$E,3,FALSE())),1,0),0)</f>
        <v>0</v>
      </c>
      <c r="J264" s="7" t="str">
        <f aca="false">IFERROR(IF($A264&gt;=VLOOKUP($B264,Ref_Acuerdos!$A:$E,3,FALSE()),VLOOKUP($B264,Ref_Acuerdos!$A:$E,4,FALSE()),""),"")</f>
        <v/>
      </c>
      <c r="K264" s="4" t="str">
        <f aca="false">IFERROR(IF($A264&gt;=VLOOKUP($B264,Ref_Acuerdos!$A:$E,3,FALSE()),VLOOKUP($B264,Ref_Acuerdos!$A:$E,5,FALSE()),"Sin FTA/PTA vigente ese año - arancel NMF"),"Sin FTA/PTA identificado - arancel NMF")</f>
        <v>Sin FTA/PTA identificado - arancel NMF</v>
      </c>
    </row>
    <row r="265" customFormat="false" ht="15" hidden="false" customHeight="false" outlineLevel="0" collapsed="false">
      <c r="A265" s="2" t="n">
        <v>2013</v>
      </c>
      <c r="B265" s="2" t="s">
        <v>86</v>
      </c>
      <c r="C265" s="4" t="str">
        <f aca="false">IFERROR(VLOOKUP($B265,Ref_Continente!$A:$B,2,FALSE()),"Sin clasificar")</f>
        <v>North America</v>
      </c>
      <c r="D265" s="5" t="n">
        <v>27956</v>
      </c>
      <c r="E265" s="6" t="n">
        <v>6955</v>
      </c>
      <c r="F265" s="6" t="n">
        <v>1020</v>
      </c>
      <c r="G265" s="5" t="n">
        <v>46949496479.4</v>
      </c>
      <c r="H265" s="4" t="n">
        <f aca="false">IFERROR(IF(AND(VLOOKUP($B265,Ref_Acuerdos!$A:$E,2,FALSE())="FTA",$A265&gt;=VLOOKUP($B265,Ref_Acuerdos!$A:$E,3,FALSE())),1,0),0)</f>
        <v>0</v>
      </c>
      <c r="I265" s="4" t="n">
        <f aca="false">IFERROR(IF(AND(VLOOKUP($B265,Ref_Acuerdos!$A:$E,2,FALSE())="PTA",$A265&gt;=VLOOKUP($B265,Ref_Acuerdos!$A:$E,3,FALSE())),1,0),0)</f>
        <v>1</v>
      </c>
      <c r="J265" s="7" t="n">
        <f aca="false">IFERROR(IF($A265&gt;=VLOOKUP($B265,Ref_Acuerdos!$A:$E,3,FALSE()),VLOOKUP($B265,Ref_Acuerdos!$A:$E,4,FALSE()),""),"")</f>
        <v>10</v>
      </c>
      <c r="K265" s="4" t="str">
        <f aca="false">IFERROR(IF($A265&gt;=VLOOKUP($B265,Ref_Acuerdos!$A:$E,3,FALSE()),VLOOKUP($B265,Ref_Acuerdos!$A:$E,5,FALSE()),"Sin FTA/PTA vigente ese año - arancel NMF"),"Sin FTA/PTA identificado - arancel NMF")</f>
        <v>ALADI - Acuerdo de Alcance Parcial (preferencia limitada, tarifa referencial)</v>
      </c>
    </row>
    <row r="266" customFormat="false" ht="15" hidden="false" customHeight="false" outlineLevel="0" collapsed="false">
      <c r="A266" s="2" t="n">
        <v>2013</v>
      </c>
      <c r="B266" s="2" t="s">
        <v>42</v>
      </c>
      <c r="C266" s="4" t="str">
        <f aca="false">IFERROR(VLOOKUP($B266,Ref_Continente!$A:$B,2,FALSE()),"Sin clasificar")</f>
        <v>Europe</v>
      </c>
      <c r="D266" s="5" t="n">
        <v>26714</v>
      </c>
      <c r="E266" s="6" t="n">
        <v>6925</v>
      </c>
      <c r="F266" s="6" t="n">
        <v>9150</v>
      </c>
      <c r="G266" s="5" t="n">
        <v>2816077607875.26</v>
      </c>
      <c r="H266" s="4" t="n">
        <f aca="false">IFERROR(IF(AND(VLOOKUP($B266,Ref_Acuerdos!$A:$E,2,FALSE())="FTA",$A266&gt;=VLOOKUP($B266,Ref_Acuerdos!$A:$E,3,FALSE())),1,0),0)</f>
        <v>0</v>
      </c>
      <c r="I266" s="4" t="n">
        <f aca="false">IFERROR(IF(AND(VLOOKUP($B266,Ref_Acuerdos!$A:$E,2,FALSE())="PTA",$A266&gt;=VLOOKUP($B266,Ref_Acuerdos!$A:$E,3,FALSE())),1,0),0)</f>
        <v>0</v>
      </c>
      <c r="J266" s="7" t="str">
        <f aca="false">IFERROR(IF($A266&gt;=VLOOKUP($B266,Ref_Acuerdos!$A:$E,3,FALSE()),VLOOKUP($B266,Ref_Acuerdos!$A:$E,4,FALSE()),""),"")</f>
        <v/>
      </c>
      <c r="K266" s="4" t="str">
        <f aca="false">IFERROR(IF($A266&gt;=VLOOKUP($B266,Ref_Acuerdos!$A:$E,3,FALSE()),VLOOKUP($B266,Ref_Acuerdos!$A:$E,5,FALSE()),"Sin FTA/PTA vigente ese año - arancel NMF"),"Sin FTA/PTA identificado - arancel NMF")</f>
        <v>Sin FTA/PTA vigente ese año - arancel NMF</v>
      </c>
    </row>
    <row r="267" customFormat="false" ht="15" hidden="false" customHeight="false" outlineLevel="0" collapsed="false">
      <c r="A267" s="2" t="n">
        <v>2013</v>
      </c>
      <c r="B267" s="2" t="s">
        <v>45</v>
      </c>
      <c r="C267" s="4" t="str">
        <f aca="false">IFERROR(VLOOKUP($B267,Ref_Continente!$A:$B,2,FALSE()),"Sin clasificar")</f>
        <v>Europe</v>
      </c>
      <c r="D267" s="5" t="n">
        <v>26473</v>
      </c>
      <c r="E267" s="6" t="n">
        <v>5727</v>
      </c>
      <c r="F267" s="6" t="n">
        <v>9650</v>
      </c>
      <c r="G267" s="5" t="n">
        <v>3807023797050.99</v>
      </c>
      <c r="H267" s="4" t="n">
        <f aca="false">IFERROR(IF(AND(VLOOKUP($B267,Ref_Acuerdos!$A:$E,2,FALSE())="FTA",$A267&gt;=VLOOKUP($B267,Ref_Acuerdos!$A:$E,3,FALSE())),1,0),0)</f>
        <v>0</v>
      </c>
      <c r="I267" s="4" t="n">
        <f aca="false">IFERROR(IF(AND(VLOOKUP($B267,Ref_Acuerdos!$A:$E,2,FALSE())="PTA",$A267&gt;=VLOOKUP($B267,Ref_Acuerdos!$A:$E,3,FALSE())),1,0),0)</f>
        <v>0</v>
      </c>
      <c r="J267" s="7" t="str">
        <f aca="false">IFERROR(IF($A267&gt;=VLOOKUP($B267,Ref_Acuerdos!$A:$E,3,FALSE()),VLOOKUP($B267,Ref_Acuerdos!$A:$E,4,FALSE()),""),"")</f>
        <v/>
      </c>
      <c r="K267" s="4" t="str">
        <f aca="false">IFERROR(IF($A267&gt;=VLOOKUP($B267,Ref_Acuerdos!$A:$E,3,FALSE()),VLOOKUP($B267,Ref_Acuerdos!$A:$E,5,FALSE()),"Sin FTA/PTA vigente ese año - arancel NMF"),"Sin FTA/PTA identificado - arancel NMF")</f>
        <v>Sin FTA/PTA vigente ese año - arancel NMF</v>
      </c>
    </row>
    <row r="268" customFormat="false" ht="15" hidden="false" customHeight="false" outlineLevel="0" collapsed="false">
      <c r="A268" s="2" t="n">
        <v>2013</v>
      </c>
      <c r="B268" s="2" t="s">
        <v>116</v>
      </c>
      <c r="C268" s="4" t="str">
        <f aca="false">IFERROR(VLOOKUP($B268,Ref_Continente!$A:$B,2,FALSE()),"Sin clasificar")</f>
        <v>Asia</v>
      </c>
      <c r="D268" s="5" t="n">
        <v>23405</v>
      </c>
      <c r="E268" s="6" t="n">
        <v>685</v>
      </c>
      <c r="F268" s="6" t="n">
        <v>14200</v>
      </c>
      <c r="G268" s="5" t="n">
        <v>409632675289.31</v>
      </c>
      <c r="H268" s="4" t="n">
        <f aca="false">IFERROR(IF(AND(VLOOKUP($B268,Ref_Acuerdos!$A:$E,2,FALSE())="FTA",$A268&gt;=VLOOKUP($B268,Ref_Acuerdos!$A:$E,3,FALSE())),1,0),0)</f>
        <v>0</v>
      </c>
      <c r="I268" s="4" t="n">
        <f aca="false">IFERROR(IF(AND(VLOOKUP($B268,Ref_Acuerdos!$A:$E,2,FALSE())="PTA",$A268&gt;=VLOOKUP($B268,Ref_Acuerdos!$A:$E,3,FALSE())),1,0),0)</f>
        <v>0</v>
      </c>
      <c r="J268" s="7" t="str">
        <f aca="false">IFERROR(IF($A268&gt;=VLOOKUP($B268,Ref_Acuerdos!$A:$E,3,FALSE()),VLOOKUP($B268,Ref_Acuerdos!$A:$E,4,FALSE()),""),"")</f>
        <v/>
      </c>
      <c r="K268" s="4" t="str">
        <f aca="false">IFERROR(IF($A268&gt;=VLOOKUP($B268,Ref_Acuerdos!$A:$E,3,FALSE()),VLOOKUP($B268,Ref_Acuerdos!$A:$E,5,FALSE()),"Sin FTA/PTA vigente ese año - arancel NMF"),"Sin FTA/PTA identificado - arancel NMF")</f>
        <v>Sin FTA/PTA identificado - arancel NMF</v>
      </c>
    </row>
    <row r="269" customFormat="false" ht="15" hidden="false" customHeight="false" outlineLevel="0" collapsed="false">
      <c r="A269" s="2" t="n">
        <v>2013</v>
      </c>
      <c r="B269" s="2" t="s">
        <v>80</v>
      </c>
      <c r="C269" s="4" t="str">
        <f aca="false">IFERROR(VLOOKUP($B269,Ref_Continente!$A:$B,2,FALSE()),"Sin clasificar")</f>
        <v>North America</v>
      </c>
      <c r="D269" s="5" t="n">
        <v>21352</v>
      </c>
      <c r="E269" s="6" t="n">
        <v>4172</v>
      </c>
      <c r="F269" s="6" t="n">
        <v>1730</v>
      </c>
      <c r="G269" s="5" t="n">
        <v>10982988249.21</v>
      </c>
      <c r="H269" s="4" t="n">
        <f aca="false">IFERROR(IF(AND(VLOOKUP($B269,Ref_Acuerdos!$A:$E,2,FALSE())="FTA",$A269&gt;=VLOOKUP($B269,Ref_Acuerdos!$A:$E,3,FALSE())),1,0),0)</f>
        <v>0</v>
      </c>
      <c r="I269" s="4" t="n">
        <f aca="false">IFERROR(IF(AND(VLOOKUP($B269,Ref_Acuerdos!$A:$E,2,FALSE())="PTA",$A269&gt;=VLOOKUP($B269,Ref_Acuerdos!$A:$E,3,FALSE())),1,0),0)</f>
        <v>1</v>
      </c>
      <c r="J269" s="7" t="n">
        <f aca="false">IFERROR(IF($A269&gt;=VLOOKUP($B269,Ref_Acuerdos!$A:$E,3,FALSE()),VLOOKUP($B269,Ref_Acuerdos!$A:$E,4,FALSE()),""),"")</f>
        <v>10</v>
      </c>
      <c r="K269" s="4" t="str">
        <f aca="false">IFERROR(IF($A269&gt;=VLOOKUP($B269,Ref_Acuerdos!$A:$E,3,FALSE()),VLOOKUP($B269,Ref_Acuerdos!$A:$E,5,FALSE()),"Sin FTA/PTA vigente ese año - arancel NMF"),"Sin FTA/PTA identificado - arancel NMF")</f>
        <v>ALADI - Acuerdo de Alcance Parcial (preferencia limitada, tarifa referencial)</v>
      </c>
    </row>
    <row r="270" customFormat="false" ht="15" hidden="false" customHeight="false" outlineLevel="0" collapsed="false">
      <c r="A270" s="2" t="n">
        <v>2013</v>
      </c>
      <c r="B270" s="2" t="s">
        <v>117</v>
      </c>
      <c r="C270" s="4" t="str">
        <f aca="false">IFERROR(VLOOKUP($B270,Ref_Continente!$A:$B,2,FALSE()),"Sin clasificar")</f>
        <v>Europe</v>
      </c>
      <c r="D270" s="5" t="n">
        <v>21080</v>
      </c>
      <c r="E270" s="6" t="n">
        <v>2384</v>
      </c>
      <c r="F270" s="6" t="n">
        <v>9200</v>
      </c>
      <c r="G270" s="5" t="n">
        <v>2796908333283.39</v>
      </c>
      <c r="H270" s="4" t="n">
        <f aca="false">IFERROR(IF(AND(VLOOKUP($B270,Ref_Acuerdos!$A:$E,2,FALSE())="FTA",$A270&gt;=VLOOKUP($B270,Ref_Acuerdos!$A:$E,3,FALSE())),1,0),0)</f>
        <v>0</v>
      </c>
      <c r="I270" s="4" t="n">
        <f aca="false">IFERROR(IF(AND(VLOOKUP($B270,Ref_Acuerdos!$A:$E,2,FALSE())="PTA",$A270&gt;=VLOOKUP($B270,Ref_Acuerdos!$A:$E,3,FALSE())),1,0),0)</f>
        <v>0</v>
      </c>
      <c r="J270" s="7" t="str">
        <f aca="false">IFERROR(IF($A270&gt;=VLOOKUP($B270,Ref_Acuerdos!$A:$E,3,FALSE()),VLOOKUP($B270,Ref_Acuerdos!$A:$E,4,FALSE()),""),"")</f>
        <v/>
      </c>
      <c r="K270" s="4" t="str">
        <f aca="false">IFERROR(IF($A270&gt;=VLOOKUP($B270,Ref_Acuerdos!$A:$E,3,FALSE()),VLOOKUP($B270,Ref_Acuerdos!$A:$E,5,FALSE()),"Sin FTA/PTA vigente ese año - arancel NMF"),"Sin FTA/PTA identificado - arancel NMF")</f>
        <v>Sin FTA/PTA vigente ese año - arancel NMF</v>
      </c>
    </row>
    <row r="271" customFormat="false" ht="15" hidden="false" customHeight="false" outlineLevel="0" collapsed="false">
      <c r="A271" s="2" t="n">
        <v>2013</v>
      </c>
      <c r="B271" s="2" t="s">
        <v>111</v>
      </c>
      <c r="C271" s="4" t="str">
        <f aca="false">IFERROR(VLOOKUP($B271,Ref_Continente!$A:$B,2,FALSE()),"Sin clasificar")</f>
        <v>North America</v>
      </c>
      <c r="D271" s="5" t="n">
        <v>20526</v>
      </c>
      <c r="E271" s="6" t="n">
        <v>6269</v>
      </c>
      <c r="F271" s="6" t="n">
        <v>2530</v>
      </c>
      <c r="G271" s="5" t="n">
        <v>28560537057.15</v>
      </c>
      <c r="H271" s="4" t="n">
        <f aca="false">IFERROR(IF(AND(VLOOKUP($B271,Ref_Acuerdos!$A:$E,2,FALSE())="FTA",$A271&gt;=VLOOKUP($B271,Ref_Acuerdos!$A:$E,3,FALSE())),1,0),0)</f>
        <v>0</v>
      </c>
      <c r="I271" s="4" t="n">
        <f aca="false">IFERROR(IF(AND(VLOOKUP($B271,Ref_Acuerdos!$A:$E,2,FALSE())="PTA",$A271&gt;=VLOOKUP($B271,Ref_Acuerdos!$A:$E,3,FALSE())),1,0),0)</f>
        <v>0</v>
      </c>
      <c r="J271" s="7" t="str">
        <f aca="false">IFERROR(IF($A271&gt;=VLOOKUP($B271,Ref_Acuerdos!$A:$E,3,FALSE()),VLOOKUP($B271,Ref_Acuerdos!$A:$E,4,FALSE()),""),"")</f>
        <v/>
      </c>
      <c r="K271" s="4" t="str">
        <f aca="false">IFERROR(IF($A271&gt;=VLOOKUP($B271,Ref_Acuerdos!$A:$E,3,FALSE()),VLOOKUP($B271,Ref_Acuerdos!$A:$E,5,FALSE()),"Sin FTA/PTA vigente ese año - arancel NMF"),"Sin FTA/PTA identificado - arancel NMF")</f>
        <v>Sin FTA/PTA identificado - arancel NMF</v>
      </c>
    </row>
    <row r="272" customFormat="false" ht="15" hidden="false" customHeight="false" outlineLevel="0" collapsed="false">
      <c r="A272" s="2" t="n">
        <v>2013</v>
      </c>
      <c r="B272" s="2" t="s">
        <v>31</v>
      </c>
      <c r="C272" s="4" t="str">
        <f aca="false">IFERROR(VLOOKUP($B272,Ref_Continente!$A:$B,2,FALSE()),"Sin clasificar")</f>
        <v>Europe</v>
      </c>
      <c r="D272" s="5" t="n">
        <v>18680</v>
      </c>
      <c r="E272" s="6" t="n">
        <v>4074</v>
      </c>
      <c r="F272" s="6" t="n">
        <v>10400</v>
      </c>
      <c r="G272" s="5" t="n">
        <v>59846265181.85</v>
      </c>
      <c r="H272" s="4" t="n">
        <f aca="false">IFERROR(IF(AND(VLOOKUP($B272,Ref_Acuerdos!$A:$E,2,FALSE())="FTA",$A272&gt;=VLOOKUP($B272,Ref_Acuerdos!$A:$E,3,FALSE())),1,0),0)</f>
        <v>0</v>
      </c>
      <c r="I272" s="4" t="n">
        <f aca="false">IFERROR(IF(AND(VLOOKUP($B272,Ref_Acuerdos!$A:$E,2,FALSE())="PTA",$A272&gt;=VLOOKUP($B272,Ref_Acuerdos!$A:$E,3,FALSE())),1,0),0)</f>
        <v>0</v>
      </c>
      <c r="J272" s="7" t="str">
        <f aca="false">IFERROR(IF($A272&gt;=VLOOKUP($B272,Ref_Acuerdos!$A:$E,3,FALSE()),VLOOKUP($B272,Ref_Acuerdos!$A:$E,4,FALSE()),""),"")</f>
        <v/>
      </c>
      <c r="K272" s="4" t="str">
        <f aca="false">IFERROR(IF($A272&gt;=VLOOKUP($B272,Ref_Acuerdos!$A:$E,3,FALSE()),VLOOKUP($B272,Ref_Acuerdos!$A:$E,5,FALSE()),"Sin FTA/PTA vigente ese año - arancel NMF"),"Sin FTA/PTA identificado - arancel NMF")</f>
        <v>Sin FTA/PTA vigente ese año - arancel NMF</v>
      </c>
    </row>
    <row r="273" customFormat="false" ht="15" hidden="false" customHeight="false" outlineLevel="0" collapsed="false">
      <c r="A273" s="2" t="n">
        <v>2013</v>
      </c>
      <c r="B273" s="2" t="s">
        <v>107</v>
      </c>
      <c r="C273" s="4" t="str">
        <f aca="false">IFERROR(VLOOKUP($B273,Ref_Continente!$A:$B,2,FALSE()),"Sin clasificar")</f>
        <v>Europe</v>
      </c>
      <c r="D273" s="5" t="n">
        <v>18484</v>
      </c>
      <c r="E273" s="6" t="n">
        <v>2821</v>
      </c>
      <c r="F273" s="6" t="n">
        <v>10000</v>
      </c>
      <c r="G273" s="5" t="n">
        <v>584125353119.18</v>
      </c>
      <c r="H273" s="4" t="n">
        <f aca="false">IFERROR(IF(AND(VLOOKUP($B273,Ref_Acuerdos!$A:$E,2,FALSE())="FTA",$A273&gt;=VLOOKUP($B273,Ref_Acuerdos!$A:$E,3,FALSE())),1,0),0)</f>
        <v>0</v>
      </c>
      <c r="I273" s="4" t="n">
        <f aca="false">IFERROR(IF(AND(VLOOKUP($B273,Ref_Acuerdos!$A:$E,2,FALSE())="PTA",$A273&gt;=VLOOKUP($B273,Ref_Acuerdos!$A:$E,3,FALSE())),1,0),0)</f>
        <v>0</v>
      </c>
      <c r="J273" s="7" t="str">
        <f aca="false">IFERROR(IF($A273&gt;=VLOOKUP($B273,Ref_Acuerdos!$A:$E,3,FALSE()),VLOOKUP($B273,Ref_Acuerdos!$A:$E,4,FALSE()),""),"")</f>
        <v/>
      </c>
      <c r="K273" s="4" t="str">
        <f aca="false">IFERROR(IF($A273&gt;=VLOOKUP($B273,Ref_Acuerdos!$A:$E,3,FALSE()),VLOOKUP($B273,Ref_Acuerdos!$A:$E,5,FALSE()),"Sin FTA/PTA vigente ese año - arancel NMF"),"Sin FTA/PTA identificado - arancel NMF")</f>
        <v>Sin FTA/PTA vigente ese año - arancel NMF</v>
      </c>
    </row>
    <row r="274" customFormat="false" ht="15" hidden="false" customHeight="false" outlineLevel="0" collapsed="false">
      <c r="A274" s="2" t="n">
        <v>2013</v>
      </c>
      <c r="B274" s="2" t="s">
        <v>16</v>
      </c>
      <c r="C274" s="4" t="str">
        <f aca="false">IFERROR(VLOOKUP($B274,Ref_Continente!$A:$B,2,FALSE()),"Sin clasificar")</f>
        <v>Asia</v>
      </c>
      <c r="D274" s="5" t="n">
        <v>17871</v>
      </c>
      <c r="E274" s="6" t="n">
        <v>4542</v>
      </c>
      <c r="F274" s="6" t="n">
        <v>13100</v>
      </c>
      <c r="G274" s="5" t="n">
        <v>74160560123.69</v>
      </c>
      <c r="H274" s="4" t="n">
        <f aca="false">IFERROR(IF(AND(VLOOKUP($B274,Ref_Acuerdos!$A:$E,2,FALSE())="FTA",$A274&gt;=VLOOKUP($B274,Ref_Acuerdos!$A:$E,3,FALSE())),1,0),0)</f>
        <v>0</v>
      </c>
      <c r="I274" s="4" t="n">
        <f aca="false">IFERROR(IF(AND(VLOOKUP($B274,Ref_Acuerdos!$A:$E,2,FALSE())="PTA",$A274&gt;=VLOOKUP($B274,Ref_Acuerdos!$A:$E,3,FALSE())),1,0),0)</f>
        <v>0</v>
      </c>
      <c r="J274" s="7" t="str">
        <f aca="false">IFERROR(IF($A274&gt;=VLOOKUP($B274,Ref_Acuerdos!$A:$E,3,FALSE()),VLOOKUP($B274,Ref_Acuerdos!$A:$E,4,FALSE()),""),"")</f>
        <v/>
      </c>
      <c r="K274" s="4" t="str">
        <f aca="false">IFERROR(IF($A274&gt;=VLOOKUP($B274,Ref_Acuerdos!$A:$E,3,FALSE()),VLOOKUP($B274,Ref_Acuerdos!$A:$E,5,FALSE()),"Sin FTA/PTA vigente ese año - arancel NMF"),"Sin FTA/PTA identificado - arancel NMF")</f>
        <v>Sin FTA/PTA identificado - arancel NMF</v>
      </c>
    </row>
    <row r="275" customFormat="false" ht="15" hidden="false" customHeight="false" outlineLevel="0" collapsed="false">
      <c r="A275" s="2" t="n">
        <v>2013</v>
      </c>
      <c r="B275" s="2" t="s">
        <v>87</v>
      </c>
      <c r="C275" s="4" t="str">
        <f aca="false">IFERROR(VLOOKUP($B275,Ref_Continente!$A:$B,2,FALSE()),"Sin clasificar")</f>
        <v>South America</v>
      </c>
      <c r="D275" s="5" t="n">
        <v>17568</v>
      </c>
      <c r="E275" s="6" t="n">
        <v>4484</v>
      </c>
      <c r="F275" s="6" t="n">
        <v>3600</v>
      </c>
      <c r="G275" s="5" t="n">
        <v>38501122141.41</v>
      </c>
      <c r="H275" s="4" t="n">
        <f aca="false">IFERROR(IF(AND(VLOOKUP($B275,Ref_Acuerdos!$A:$E,2,FALSE())="FTA",$A275&gt;=VLOOKUP($B275,Ref_Acuerdos!$A:$E,3,FALSE())),1,0),0)</f>
        <v>0</v>
      </c>
      <c r="I275" s="4" t="n">
        <f aca="false">IFERROR(IF(AND(VLOOKUP($B275,Ref_Acuerdos!$A:$E,2,FALSE())="PTA",$A275&gt;=VLOOKUP($B275,Ref_Acuerdos!$A:$E,3,FALSE())),1,0),0)</f>
        <v>1</v>
      </c>
      <c r="J275" s="7" t="n">
        <f aca="false">IFERROR(IF($A275&gt;=VLOOKUP($B275,Ref_Acuerdos!$A:$E,3,FALSE()),VLOOKUP($B275,Ref_Acuerdos!$A:$E,4,FALSE()),""),"")</f>
        <v>5</v>
      </c>
      <c r="K275" s="4" t="str">
        <f aca="false">IFERROR(IF($A275&gt;=VLOOKUP($B275,Ref_Acuerdos!$A:$E,3,FALSE()),VLOOKUP($B275,Ref_Acuerdos!$A:$E,5,FALSE()),"Sin FTA/PTA vigente ese año - arancel NMF"),"Sin FTA/PTA identificado - arancel NMF")</f>
        <v>Ecuador-Mercosur ACE 59 - preferencias parciales (tarifa referencial)</v>
      </c>
    </row>
    <row r="276" customFormat="false" ht="15" hidden="false" customHeight="false" outlineLevel="0" collapsed="false">
      <c r="A276" s="2" t="n">
        <v>2013</v>
      </c>
      <c r="B276" s="2" t="s">
        <v>29</v>
      </c>
      <c r="C276" s="4" t="str">
        <f aca="false">IFERROR(VLOOKUP($B276,Ref_Continente!$A:$B,2,FALSE()),"Sin clasificar")</f>
        <v>South America</v>
      </c>
      <c r="D276" s="5" t="n">
        <v>17388</v>
      </c>
      <c r="E276" s="6" t="n">
        <v>3139</v>
      </c>
      <c r="F276" s="6" t="n">
        <v>720</v>
      </c>
      <c r="G276" s="5" t="n">
        <v>382093697077.69</v>
      </c>
      <c r="H276" s="4" t="n">
        <f aca="false">IFERROR(IF(AND(VLOOKUP($B276,Ref_Acuerdos!$A:$E,2,FALSE())="FTA",$A276&gt;=VLOOKUP($B276,Ref_Acuerdos!$A:$E,3,FALSE())),1,0),0)</f>
        <v>0</v>
      </c>
      <c r="I276" s="4" t="n">
        <f aca="false">IFERROR(IF(AND(VLOOKUP($B276,Ref_Acuerdos!$A:$E,2,FALSE())="PTA",$A276&gt;=VLOOKUP($B276,Ref_Acuerdos!$A:$E,3,FALSE())),1,0),0)</f>
        <v>1</v>
      </c>
      <c r="J276" s="7" t="n">
        <f aca="false">IFERROR(IF($A276&gt;=VLOOKUP($B276,Ref_Acuerdos!$A:$E,3,FALSE()),VLOOKUP($B276,Ref_Acuerdos!$A:$E,4,FALSE()),""),"")</f>
        <v>0</v>
      </c>
      <c r="K276" s="4" t="str">
        <f aca="false">IFERROR(IF($A276&gt;=VLOOKUP($B276,Ref_Acuerdos!$A:$E,3,FALSE()),VLOOKUP($B276,Ref_Acuerdos!$A:$E,5,FALSE()),"Sin FTA/PTA vigente ese año - arancel NMF"),"Sin FTA/PTA identificado - arancel NMF")</f>
        <v>Comunidad Andina (CAN) - libre comercio intracomunitario</v>
      </c>
    </row>
    <row r="277" customFormat="false" ht="15" hidden="false" customHeight="false" outlineLevel="0" collapsed="false">
      <c r="A277" s="2" t="n">
        <v>2013</v>
      </c>
      <c r="B277" s="2" t="s">
        <v>89</v>
      </c>
      <c r="C277" s="4" t="str">
        <f aca="false">IFERROR(VLOOKUP($B277,Ref_Continente!$A:$B,2,FALSE()),"Sin clasificar")</f>
        <v>Asia</v>
      </c>
      <c r="D277" s="5" t="n">
        <v>14579</v>
      </c>
      <c r="E277" s="6" t="n">
        <v>502</v>
      </c>
      <c r="F277" s="6" t="n">
        <v>17800</v>
      </c>
      <c r="G277" s="5" t="n">
        <v>283902828588.72</v>
      </c>
      <c r="H277" s="4" t="n">
        <f aca="false">IFERROR(IF(AND(VLOOKUP($B277,Ref_Acuerdos!$A:$E,2,FALSE())="FTA",$A277&gt;=VLOOKUP($B277,Ref_Acuerdos!$A:$E,3,FALSE())),1,0),0)</f>
        <v>0</v>
      </c>
      <c r="I277" s="4" t="n">
        <f aca="false">IFERROR(IF(AND(VLOOKUP($B277,Ref_Acuerdos!$A:$E,2,FALSE())="PTA",$A277&gt;=VLOOKUP($B277,Ref_Acuerdos!$A:$E,3,FALSE())),1,0),0)</f>
        <v>0</v>
      </c>
      <c r="J277" s="7" t="str">
        <f aca="false">IFERROR(IF($A277&gt;=VLOOKUP($B277,Ref_Acuerdos!$A:$E,3,FALSE()),VLOOKUP($B277,Ref_Acuerdos!$A:$E,4,FALSE()),""),"")</f>
        <v/>
      </c>
      <c r="K277" s="4" t="str">
        <f aca="false">IFERROR(IF($A277&gt;=VLOOKUP($B277,Ref_Acuerdos!$A:$E,3,FALSE()),VLOOKUP($B277,Ref_Acuerdos!$A:$E,5,FALSE()),"Sin FTA/PTA vigente ese año - arancel NMF"),"Sin FTA/PTA identificado - arancel NMF")</f>
        <v>Sin FTA/PTA identificado - arancel NMF</v>
      </c>
    </row>
    <row r="278" customFormat="false" ht="15" hidden="false" customHeight="false" outlineLevel="0" collapsed="false">
      <c r="A278" s="2" t="n">
        <v>2013</v>
      </c>
      <c r="B278" s="2" t="s">
        <v>91</v>
      </c>
      <c r="C278" s="4" t="str">
        <f aca="false">IFERROR(VLOOKUP($B278,Ref_Continente!$A:$B,2,FALSE()),"Sin clasificar")</f>
        <v>Europe</v>
      </c>
      <c r="D278" s="5" t="n">
        <v>14557</v>
      </c>
      <c r="E278" s="6" t="n">
        <v>6261</v>
      </c>
      <c r="F278" s="6" t="n">
        <v>8700</v>
      </c>
      <c r="G278" s="5" t="n">
        <v>226677408291.75</v>
      </c>
      <c r="H278" s="4" t="n">
        <f aca="false">IFERROR(IF(AND(VLOOKUP($B278,Ref_Acuerdos!$A:$E,2,FALSE())="FTA",$A278&gt;=VLOOKUP($B278,Ref_Acuerdos!$A:$E,3,FALSE())),1,0),0)</f>
        <v>0</v>
      </c>
      <c r="I278" s="4" t="n">
        <f aca="false">IFERROR(IF(AND(VLOOKUP($B278,Ref_Acuerdos!$A:$E,2,FALSE())="PTA",$A278&gt;=VLOOKUP($B278,Ref_Acuerdos!$A:$E,3,FALSE())),1,0),0)</f>
        <v>0</v>
      </c>
      <c r="J278" s="7" t="str">
        <f aca="false">IFERROR(IF($A278&gt;=VLOOKUP($B278,Ref_Acuerdos!$A:$E,3,FALSE()),VLOOKUP($B278,Ref_Acuerdos!$A:$E,4,FALSE()),""),"")</f>
        <v/>
      </c>
      <c r="K278" s="4" t="str">
        <f aca="false">IFERROR(IF($A278&gt;=VLOOKUP($B278,Ref_Acuerdos!$A:$E,3,FALSE()),VLOOKUP($B278,Ref_Acuerdos!$A:$E,5,FALSE()),"Sin FTA/PTA vigente ese año - arancel NMF"),"Sin FTA/PTA identificado - arancel NMF")</f>
        <v>Sin FTA/PTA vigente ese año - arancel NMF</v>
      </c>
    </row>
    <row r="279" customFormat="false" ht="15" hidden="false" customHeight="false" outlineLevel="0" collapsed="false">
      <c r="A279" s="2" t="n">
        <v>2013</v>
      </c>
      <c r="B279" s="2" t="s">
        <v>6</v>
      </c>
      <c r="C279" s="4" t="str">
        <f aca="false">IFERROR(VLOOKUP($B279,Ref_Continente!$A:$B,2,FALSE()),"Sin clasificar")</f>
        <v>South America</v>
      </c>
      <c r="D279" s="5" t="n">
        <v>13612</v>
      </c>
      <c r="E279" s="6" t="n">
        <v>417</v>
      </c>
      <c r="F279" s="6" t="n">
        <v>4320</v>
      </c>
      <c r="G279" s="5" t="n">
        <v>552025140252.25</v>
      </c>
      <c r="H279" s="4" t="n">
        <f aca="false">IFERROR(IF(AND(VLOOKUP($B279,Ref_Acuerdos!$A:$E,2,FALSE())="FTA",$A279&gt;=VLOOKUP($B279,Ref_Acuerdos!$A:$E,3,FALSE())),1,0),0)</f>
        <v>0</v>
      </c>
      <c r="I279" s="4" t="n">
        <f aca="false">IFERROR(IF(AND(VLOOKUP($B279,Ref_Acuerdos!$A:$E,2,FALSE())="PTA",$A279&gt;=VLOOKUP($B279,Ref_Acuerdos!$A:$E,3,FALSE())),1,0),0)</f>
        <v>1</v>
      </c>
      <c r="J279" s="7" t="n">
        <f aca="false">IFERROR(IF($A279&gt;=VLOOKUP($B279,Ref_Acuerdos!$A:$E,3,FALSE()),VLOOKUP($B279,Ref_Acuerdos!$A:$E,4,FALSE()),""),"")</f>
        <v>5</v>
      </c>
      <c r="K279" s="4" t="str">
        <f aca="false">IFERROR(IF($A279&gt;=VLOOKUP($B279,Ref_Acuerdos!$A:$E,3,FALSE()),VLOOKUP($B279,Ref_Acuerdos!$A:$E,5,FALSE()),"Sin FTA/PTA vigente ese año - arancel NMF"),"Sin FTA/PTA identificado - arancel NMF")</f>
        <v>Ecuador-Mercosur ACE 59 - preferencias parciales (tarifa referencial)</v>
      </c>
    </row>
    <row r="280" customFormat="false" ht="15" hidden="false" customHeight="false" outlineLevel="0" collapsed="false">
      <c r="A280" s="2" t="n">
        <v>2013</v>
      </c>
      <c r="B280" s="2" t="s">
        <v>44</v>
      </c>
      <c r="C280" s="4" t="str">
        <f aca="false">IFERROR(VLOOKUP($B280,Ref_Continente!$A:$B,2,FALSE()),"Sin clasificar")</f>
        <v>Asia</v>
      </c>
      <c r="D280" s="5" t="n">
        <v>13239</v>
      </c>
      <c r="E280" s="6" t="n">
        <v>3755</v>
      </c>
      <c r="F280" s="6" t="n">
        <v>11600</v>
      </c>
      <c r="G280" s="5" t="n">
        <v>17517660143.69</v>
      </c>
      <c r="H280" s="4" t="n">
        <f aca="false">IFERROR(IF(AND(VLOOKUP($B280,Ref_Acuerdos!$A:$E,2,FALSE())="FTA",$A280&gt;=VLOOKUP($B280,Ref_Acuerdos!$A:$E,3,FALSE())),1,0),0)</f>
        <v>0</v>
      </c>
      <c r="I280" s="4" t="n">
        <f aca="false">IFERROR(IF(AND(VLOOKUP($B280,Ref_Acuerdos!$A:$E,2,FALSE())="PTA",$A280&gt;=VLOOKUP($B280,Ref_Acuerdos!$A:$E,3,FALSE())),1,0),0)</f>
        <v>0</v>
      </c>
      <c r="J280" s="7" t="str">
        <f aca="false">IFERROR(IF($A280&gt;=VLOOKUP($B280,Ref_Acuerdos!$A:$E,3,FALSE()),VLOOKUP($B280,Ref_Acuerdos!$A:$E,4,FALSE()),""),"")</f>
        <v/>
      </c>
      <c r="K280" s="4" t="str">
        <f aca="false">IFERROR(IF($A280&gt;=VLOOKUP($B280,Ref_Acuerdos!$A:$E,3,FALSE()),VLOOKUP($B280,Ref_Acuerdos!$A:$E,5,FALSE()),"Sin FTA/PTA vigente ese año - arancel NMF"),"Sin FTA/PTA identificado - arancel NMF")</f>
        <v>Sin FTA/PTA identificado - arancel NMF</v>
      </c>
    </row>
    <row r="281" customFormat="false" ht="15" hidden="false" customHeight="false" outlineLevel="0" collapsed="false">
      <c r="A281" s="2" t="n">
        <v>2013</v>
      </c>
      <c r="B281" s="2" t="s">
        <v>23</v>
      </c>
      <c r="C281" s="4" t="str">
        <f aca="false">IFERROR(VLOOKUP($B281,Ref_Continente!$A:$B,2,FALSE()),"Sin clasificar")</f>
        <v>South America</v>
      </c>
      <c r="D281" s="5" t="n">
        <v>12884</v>
      </c>
      <c r="E281" s="6" t="n">
        <v>2593</v>
      </c>
      <c r="F281" s="6" t="n">
        <v>4330</v>
      </c>
      <c r="G281" s="5" t="n">
        <v>2472819362043.74</v>
      </c>
      <c r="H281" s="4" t="n">
        <f aca="false">IFERROR(IF(AND(VLOOKUP($B281,Ref_Acuerdos!$A:$E,2,FALSE())="FTA",$A281&gt;=VLOOKUP($B281,Ref_Acuerdos!$A:$E,3,FALSE())),1,0),0)</f>
        <v>0</v>
      </c>
      <c r="I281" s="4" t="n">
        <f aca="false">IFERROR(IF(AND(VLOOKUP($B281,Ref_Acuerdos!$A:$E,2,FALSE())="PTA",$A281&gt;=VLOOKUP($B281,Ref_Acuerdos!$A:$E,3,FALSE())),1,0),0)</f>
        <v>1</v>
      </c>
      <c r="J281" s="7" t="n">
        <f aca="false">IFERROR(IF($A281&gt;=VLOOKUP($B281,Ref_Acuerdos!$A:$E,3,FALSE()),VLOOKUP($B281,Ref_Acuerdos!$A:$E,4,FALSE()),""),"")</f>
        <v>5</v>
      </c>
      <c r="K281" s="4" t="str">
        <f aca="false">IFERROR(IF($A281&gt;=VLOOKUP($B281,Ref_Acuerdos!$A:$E,3,FALSE()),VLOOKUP($B281,Ref_Acuerdos!$A:$E,5,FALSE()),"Sin FTA/PTA vigente ese año - arancel NMF"),"Sin FTA/PTA identificado - arancel NMF")</f>
        <v>Ecuador-Mercosur ACE 59 - preferencias parciales (tarifa referencial)</v>
      </c>
    </row>
    <row r="282" customFormat="false" ht="15" hidden="false" customHeight="false" outlineLevel="0" collapsed="false">
      <c r="A282" s="2" t="n">
        <v>2013</v>
      </c>
      <c r="B282" s="2" t="s">
        <v>83</v>
      </c>
      <c r="C282" s="4" t="str">
        <f aca="false">IFERROR(VLOOKUP($B282,Ref_Continente!$A:$B,2,FALSE()),"Sin clasificar")</f>
        <v>Europe</v>
      </c>
      <c r="D282" s="5" t="n">
        <v>12634</v>
      </c>
      <c r="E282" s="6" t="n">
        <v>3828</v>
      </c>
      <c r="F282" s="6" t="n">
        <v>9980</v>
      </c>
      <c r="G282" s="5" t="n">
        <v>526014468085.11</v>
      </c>
      <c r="H282" s="4" t="n">
        <f aca="false">IFERROR(IF(AND(VLOOKUP($B282,Ref_Acuerdos!$A:$E,2,FALSE())="FTA",$A282&gt;=VLOOKUP($B282,Ref_Acuerdos!$A:$E,3,FALSE())),1,0),0)</f>
        <v>0</v>
      </c>
      <c r="I282" s="4" t="n">
        <f aca="false">IFERROR(IF(AND(VLOOKUP($B282,Ref_Acuerdos!$A:$E,2,FALSE())="PTA",$A282&gt;=VLOOKUP($B282,Ref_Acuerdos!$A:$E,3,FALSE())),1,0),0)</f>
        <v>0</v>
      </c>
      <c r="J282" s="7" t="str">
        <f aca="false">IFERROR(IF($A282&gt;=VLOOKUP($B282,Ref_Acuerdos!$A:$E,3,FALSE()),VLOOKUP($B282,Ref_Acuerdos!$A:$E,4,FALSE()),""),"")</f>
        <v/>
      </c>
      <c r="K282" s="4" t="str">
        <f aca="false">IFERROR(IF($A282&gt;=VLOOKUP($B282,Ref_Acuerdos!$A:$E,3,FALSE()),VLOOKUP($B282,Ref_Acuerdos!$A:$E,5,FALSE()),"Sin FTA/PTA vigente ese año - arancel NMF"),"Sin FTA/PTA identificado - arancel NMF")</f>
        <v>Sin FTA/PTA vigente ese año - arancel NMF</v>
      </c>
    </row>
    <row r="283" customFormat="false" ht="15" hidden="false" customHeight="false" outlineLevel="0" collapsed="false">
      <c r="A283" s="2" t="n">
        <v>2013</v>
      </c>
      <c r="B283" s="2" t="s">
        <v>66</v>
      </c>
      <c r="C283" s="4" t="str">
        <f aca="false">IFERROR(VLOOKUP($B283,Ref_Continente!$A:$B,2,FALSE()),"Sin clasificar")</f>
        <v>Europe</v>
      </c>
      <c r="D283" s="5" t="n">
        <v>10506</v>
      </c>
      <c r="E283" s="6" t="n">
        <v>2464</v>
      </c>
      <c r="F283" s="6" t="n">
        <v>10400</v>
      </c>
      <c r="G283" s="5" t="n">
        <v>29152128167.84</v>
      </c>
      <c r="H283" s="4" t="n">
        <f aca="false">IFERROR(IF(AND(VLOOKUP($B283,Ref_Acuerdos!$A:$E,2,FALSE())="FTA",$A283&gt;=VLOOKUP($B283,Ref_Acuerdos!$A:$E,3,FALSE())),1,0),0)</f>
        <v>0</v>
      </c>
      <c r="I283" s="4" t="n">
        <f aca="false">IFERROR(IF(AND(VLOOKUP($B283,Ref_Acuerdos!$A:$E,2,FALSE())="PTA",$A283&gt;=VLOOKUP($B283,Ref_Acuerdos!$A:$E,3,FALSE())),1,0),0)</f>
        <v>0</v>
      </c>
      <c r="J283" s="7" t="str">
        <f aca="false">IFERROR(IF($A283&gt;=VLOOKUP($B283,Ref_Acuerdos!$A:$E,3,FALSE()),VLOOKUP($B283,Ref_Acuerdos!$A:$E,4,FALSE()),""),"")</f>
        <v/>
      </c>
      <c r="K283" s="4" t="str">
        <f aca="false">IFERROR(IF($A283&gt;=VLOOKUP($B283,Ref_Acuerdos!$A:$E,3,FALSE()),VLOOKUP($B283,Ref_Acuerdos!$A:$E,5,FALSE()),"Sin FTA/PTA vigente ese año - arancel NMF"),"Sin FTA/PTA identificado - arancel NMF")</f>
        <v>Sin FTA/PTA vigente ese año - arancel NMF</v>
      </c>
    </row>
    <row r="284" customFormat="false" ht="15" hidden="false" customHeight="false" outlineLevel="0" collapsed="false">
      <c r="A284" s="2" t="n">
        <v>2013</v>
      </c>
      <c r="B284" s="2" t="s">
        <v>27</v>
      </c>
      <c r="C284" s="4" t="str">
        <f aca="false">IFERROR(VLOOKUP($B284,Ref_Continente!$A:$B,2,FALSE()),"Sin clasificar")</f>
        <v>Asia</v>
      </c>
      <c r="D284" s="5" t="n">
        <v>10262</v>
      </c>
      <c r="E284" s="6" t="n">
        <v>1596</v>
      </c>
      <c r="F284" s="6" t="n">
        <v>17000</v>
      </c>
      <c r="G284" s="5" t="n">
        <v>9743124247267.24</v>
      </c>
      <c r="H284" s="4" t="n">
        <f aca="false">IFERROR(IF(AND(VLOOKUP($B284,Ref_Acuerdos!$A:$E,2,FALSE())="FTA",$A284&gt;=VLOOKUP($B284,Ref_Acuerdos!$A:$E,3,FALSE())),1,0),0)</f>
        <v>0</v>
      </c>
      <c r="I284" s="4" t="n">
        <f aca="false">IFERROR(IF(AND(VLOOKUP($B284,Ref_Acuerdos!$A:$E,2,FALSE())="PTA",$A284&gt;=VLOOKUP($B284,Ref_Acuerdos!$A:$E,3,FALSE())),1,0),0)</f>
        <v>0</v>
      </c>
      <c r="J284" s="7" t="str">
        <f aca="false">IFERROR(IF($A284&gt;=VLOOKUP($B284,Ref_Acuerdos!$A:$E,3,FALSE()),VLOOKUP($B284,Ref_Acuerdos!$A:$E,4,FALSE()),""),"")</f>
        <v/>
      </c>
      <c r="K284" s="4" t="str">
        <f aca="false">IFERROR(IF($A284&gt;=VLOOKUP($B284,Ref_Acuerdos!$A:$E,3,FALSE()),VLOOKUP($B284,Ref_Acuerdos!$A:$E,5,FALSE()),"Sin FTA/PTA vigente ese año - arancel NMF"),"Sin FTA/PTA identificado - arancel NMF")</f>
        <v>Sin FTA/PTA vigente ese año - arancel NMF</v>
      </c>
    </row>
    <row r="285" customFormat="false" ht="15" hidden="false" customHeight="false" outlineLevel="0" collapsed="false">
      <c r="A285" s="2" t="n">
        <v>2013</v>
      </c>
      <c r="B285" s="2" t="s">
        <v>18</v>
      </c>
      <c r="C285" s="4" t="str">
        <f aca="false">IFERROR(VLOOKUP($B285,Ref_Continente!$A:$B,2,FALSE()),"Sin clasificar")</f>
        <v>Asia</v>
      </c>
      <c r="D285" s="5" t="n">
        <v>9400</v>
      </c>
      <c r="E285" s="6" t="n">
        <v>3681</v>
      </c>
      <c r="F285" s="6" t="n">
        <v>13800</v>
      </c>
      <c r="G285" s="5" t="n">
        <v>33823324468.09</v>
      </c>
      <c r="H285" s="4" t="n">
        <f aca="false">IFERROR(IF(AND(VLOOKUP($B285,Ref_Acuerdos!$A:$E,2,FALSE())="FTA",$A285&gt;=VLOOKUP($B285,Ref_Acuerdos!$A:$E,3,FALSE())),1,0),0)</f>
        <v>0</v>
      </c>
      <c r="I285" s="4" t="n">
        <f aca="false">IFERROR(IF(AND(VLOOKUP($B285,Ref_Acuerdos!$A:$E,2,FALSE())="PTA",$A285&gt;=VLOOKUP($B285,Ref_Acuerdos!$A:$E,3,FALSE())),1,0),0)</f>
        <v>0</v>
      </c>
      <c r="J285" s="7" t="str">
        <f aca="false">IFERROR(IF($A285&gt;=VLOOKUP($B285,Ref_Acuerdos!$A:$E,3,FALSE()),VLOOKUP($B285,Ref_Acuerdos!$A:$E,4,FALSE()),""),"")</f>
        <v/>
      </c>
      <c r="K285" s="4" t="str">
        <f aca="false">IFERROR(IF($A285&gt;=VLOOKUP($B285,Ref_Acuerdos!$A:$E,3,FALSE()),VLOOKUP($B285,Ref_Acuerdos!$A:$E,5,FALSE()),"Sin FTA/PTA vigente ese año - arancel NMF"),"Sin FTA/PTA identificado - arancel NMF")</f>
        <v>Sin FTA/PTA identificado - arancel NMF</v>
      </c>
    </row>
    <row r="286" customFormat="false" ht="15" hidden="false" customHeight="false" outlineLevel="0" collapsed="false">
      <c r="A286" s="2" t="n">
        <v>2013</v>
      </c>
      <c r="B286" s="2" t="s">
        <v>14</v>
      </c>
      <c r="C286" s="4" t="str">
        <f aca="false">IFERROR(VLOOKUP($B286,Ref_Continente!$A:$B,2,FALSE()),"Sin clasificar")</f>
        <v>Europe</v>
      </c>
      <c r="D286" s="5" t="n">
        <v>9378</v>
      </c>
      <c r="E286" s="6" t="n">
        <v>2869</v>
      </c>
      <c r="F286" s="6" t="n">
        <v>10050</v>
      </c>
      <c r="G286" s="5" t="n">
        <v>426580502769.42</v>
      </c>
      <c r="H286" s="4" t="n">
        <f aca="false">IFERROR(IF(AND(VLOOKUP($B286,Ref_Acuerdos!$A:$E,2,FALSE())="FTA",$A286&gt;=VLOOKUP($B286,Ref_Acuerdos!$A:$E,3,FALSE())),1,0),0)</f>
        <v>0</v>
      </c>
      <c r="I286" s="4" t="n">
        <f aca="false">IFERROR(IF(AND(VLOOKUP($B286,Ref_Acuerdos!$A:$E,2,FALSE())="PTA",$A286&gt;=VLOOKUP($B286,Ref_Acuerdos!$A:$E,3,FALSE())),1,0),0)</f>
        <v>0</v>
      </c>
      <c r="J286" s="7" t="str">
        <f aca="false">IFERROR(IF($A286&gt;=VLOOKUP($B286,Ref_Acuerdos!$A:$E,3,FALSE()),VLOOKUP($B286,Ref_Acuerdos!$A:$E,4,FALSE()),""),"")</f>
        <v/>
      </c>
      <c r="K286" s="4" t="str">
        <f aca="false">IFERROR(IF($A286&gt;=VLOOKUP($B286,Ref_Acuerdos!$A:$E,3,FALSE()),VLOOKUP($B286,Ref_Acuerdos!$A:$E,5,FALSE()),"Sin FTA/PTA vigente ese año - arancel NMF"),"Sin FTA/PTA identificado - arancel NMF")</f>
        <v>Sin FTA/PTA vigente ese año - arancel NMF</v>
      </c>
    </row>
    <row r="287" customFormat="false" ht="15" hidden="false" customHeight="false" outlineLevel="0" collapsed="false">
      <c r="A287" s="2" t="n">
        <v>2013</v>
      </c>
      <c r="B287" s="2" t="s">
        <v>39</v>
      </c>
      <c r="C287" s="4" t="str">
        <f aca="false">IFERROR(VLOOKUP($B287,Ref_Continente!$A:$B,2,FALSE()),"Sin clasificar")</f>
        <v>North America</v>
      </c>
      <c r="D287" s="5" t="n">
        <v>9343</v>
      </c>
      <c r="E287" s="6" t="n">
        <v>2616</v>
      </c>
      <c r="F287" s="6" t="n">
        <v>2000</v>
      </c>
      <c r="G287" s="5" t="n">
        <v>21990960000</v>
      </c>
      <c r="H287" s="4" t="n">
        <f aca="false">IFERROR(IF(AND(VLOOKUP($B287,Ref_Acuerdos!$A:$E,2,FALSE())="FTA",$A287&gt;=VLOOKUP($B287,Ref_Acuerdos!$A:$E,3,FALSE())),1,0),0)</f>
        <v>0</v>
      </c>
      <c r="I287" s="4" t="n">
        <f aca="false">IFERROR(IF(AND(VLOOKUP($B287,Ref_Acuerdos!$A:$E,2,FALSE())="PTA",$A287&gt;=VLOOKUP($B287,Ref_Acuerdos!$A:$E,3,FALSE())),1,0),0)</f>
        <v>0</v>
      </c>
      <c r="J287" s="7" t="str">
        <f aca="false">IFERROR(IF($A287&gt;=VLOOKUP($B287,Ref_Acuerdos!$A:$E,3,FALSE()),VLOOKUP($B287,Ref_Acuerdos!$A:$E,4,FALSE()),""),"")</f>
        <v/>
      </c>
      <c r="K287" s="4" t="str">
        <f aca="false">IFERROR(IF($A287&gt;=VLOOKUP($B287,Ref_Acuerdos!$A:$E,3,FALSE()),VLOOKUP($B287,Ref_Acuerdos!$A:$E,5,FALSE()),"Sin FTA/PTA vigente ese año - arancel NMF"),"Sin FTA/PTA identificado - arancel NMF")</f>
        <v>Sin FTA/PTA identificado - arancel NMF</v>
      </c>
    </row>
    <row r="288" customFormat="false" ht="15" hidden="false" customHeight="false" outlineLevel="0" collapsed="false">
      <c r="A288" s="2" t="n">
        <v>2013</v>
      </c>
      <c r="B288" s="2" t="s">
        <v>65</v>
      </c>
      <c r="C288" s="4" t="str">
        <f aca="false">IFERROR(VLOOKUP($B288,Ref_Continente!$A:$B,2,FALSE()),"Sin clasificar")</f>
        <v>Asia</v>
      </c>
      <c r="D288" s="5" t="n">
        <v>9037</v>
      </c>
      <c r="E288" s="6" t="n">
        <v>2335</v>
      </c>
      <c r="F288" s="6" t="n">
        <v>14300</v>
      </c>
      <c r="G288" s="5"/>
      <c r="H288" s="4" t="n">
        <f aca="false">IFERROR(IF(AND(VLOOKUP($B288,Ref_Acuerdos!$A:$E,2,FALSE())="FTA",$A288&gt;=VLOOKUP($B288,Ref_Acuerdos!$A:$E,3,FALSE())),1,0),0)</f>
        <v>0</v>
      </c>
      <c r="I288" s="4" t="n">
        <f aca="false">IFERROR(IF(AND(VLOOKUP($B288,Ref_Acuerdos!$A:$E,2,FALSE())="PTA",$A288&gt;=VLOOKUP($B288,Ref_Acuerdos!$A:$E,3,FALSE())),1,0),0)</f>
        <v>0</v>
      </c>
      <c r="J288" s="7" t="str">
        <f aca="false">IFERROR(IF($A288&gt;=VLOOKUP($B288,Ref_Acuerdos!$A:$E,3,FALSE()),VLOOKUP($B288,Ref_Acuerdos!$A:$E,4,FALSE()),""),"")</f>
        <v/>
      </c>
      <c r="K288" s="4" t="str">
        <f aca="false">IFERROR(IF($A288&gt;=VLOOKUP($B288,Ref_Acuerdos!$A:$E,3,FALSE()),VLOOKUP($B288,Ref_Acuerdos!$A:$E,5,FALSE()),"Sin FTA/PTA vigente ese año - arancel NMF"),"Sin FTA/PTA identificado - arancel NMF")</f>
        <v>Sin FTA/PTA identificado - arancel NMF</v>
      </c>
    </row>
    <row r="289" customFormat="false" ht="15" hidden="false" customHeight="false" outlineLevel="0" collapsed="false">
      <c r="A289" s="2" t="n">
        <v>2013</v>
      </c>
      <c r="B289" s="2" t="s">
        <v>17</v>
      </c>
      <c r="C289" s="4" t="str">
        <f aca="false">IFERROR(VLOOKUP($B289,Ref_Continente!$A:$B,2,FALSE()),"Sin clasificar")</f>
        <v>North America</v>
      </c>
      <c r="D289" s="5" t="n">
        <v>8314</v>
      </c>
      <c r="E289" s="6" t="n">
        <v>1868</v>
      </c>
      <c r="F289" s="6"/>
      <c r="G289" s="5"/>
      <c r="H289" s="4" t="n">
        <f aca="false">IFERROR(IF(AND(VLOOKUP($B289,Ref_Acuerdos!$A:$E,2,FALSE())="FTA",$A289&gt;=VLOOKUP($B289,Ref_Acuerdos!$A:$E,3,FALSE())),1,0),0)</f>
        <v>0</v>
      </c>
      <c r="I289" s="4" t="n">
        <f aca="false">IFERROR(IF(AND(VLOOKUP($B289,Ref_Acuerdos!$A:$E,2,FALSE())="PTA",$A289&gt;=VLOOKUP($B289,Ref_Acuerdos!$A:$E,3,FALSE())),1,0),0)</f>
        <v>0</v>
      </c>
      <c r="J289" s="7" t="str">
        <f aca="false">IFERROR(IF($A289&gt;=VLOOKUP($B289,Ref_Acuerdos!$A:$E,3,FALSE()),VLOOKUP($B289,Ref_Acuerdos!$A:$E,4,FALSE()),""),"")</f>
        <v/>
      </c>
      <c r="K289" s="4" t="str">
        <f aca="false">IFERROR(IF($A289&gt;=VLOOKUP($B289,Ref_Acuerdos!$A:$E,3,FALSE()),VLOOKUP($B289,Ref_Acuerdos!$A:$E,5,FALSE()),"Sin FTA/PTA vigente ese año - arancel NMF"),"Sin FTA/PTA identificado - arancel NMF")</f>
        <v>Sin FTA/PTA identificado - arancel NMF</v>
      </c>
    </row>
    <row r="290" customFormat="false" ht="15" hidden="false" customHeight="false" outlineLevel="0" collapsed="false">
      <c r="A290" s="2" t="n">
        <v>2013</v>
      </c>
      <c r="B290" s="2" t="s">
        <v>100</v>
      </c>
      <c r="C290" s="4" t="str">
        <f aca="false">IFERROR(VLOOKUP($B290,Ref_Continente!$A:$B,2,FALSE()),"Sin clasificar")</f>
        <v>Asia</v>
      </c>
      <c r="D290" s="5" t="n">
        <v>8069</v>
      </c>
      <c r="E290" s="6" t="n">
        <v>3397</v>
      </c>
      <c r="F290" s="6" t="n">
        <v>13800</v>
      </c>
      <c r="G290" s="5" t="n">
        <v>769755733333.33</v>
      </c>
      <c r="H290" s="4" t="n">
        <f aca="false">IFERROR(IF(AND(VLOOKUP($B290,Ref_Acuerdos!$A:$E,2,FALSE())="FTA",$A290&gt;=VLOOKUP($B290,Ref_Acuerdos!$A:$E,3,FALSE())),1,0),0)</f>
        <v>0</v>
      </c>
      <c r="I290" s="4" t="n">
        <f aca="false">IFERROR(IF(AND(VLOOKUP($B290,Ref_Acuerdos!$A:$E,2,FALSE())="PTA",$A290&gt;=VLOOKUP($B290,Ref_Acuerdos!$A:$E,3,FALSE())),1,0),0)</f>
        <v>0</v>
      </c>
      <c r="J290" s="7" t="str">
        <f aca="false">IFERROR(IF($A290&gt;=VLOOKUP($B290,Ref_Acuerdos!$A:$E,3,FALSE()),VLOOKUP($B290,Ref_Acuerdos!$A:$E,4,FALSE()),""),"")</f>
        <v/>
      </c>
      <c r="K290" s="4" t="str">
        <f aca="false">IFERROR(IF($A290&gt;=VLOOKUP($B290,Ref_Acuerdos!$A:$E,3,FALSE()),VLOOKUP($B290,Ref_Acuerdos!$A:$E,5,FALSE()),"Sin FTA/PTA vigente ese año - arancel NMF"),"Sin FTA/PTA identificado - arancel NMF")</f>
        <v>Sin FTA/PTA identificado - arancel NMF</v>
      </c>
    </row>
    <row r="291" customFormat="false" ht="15" hidden="false" customHeight="false" outlineLevel="0" collapsed="false">
      <c r="A291" s="2" t="n">
        <v>2013</v>
      </c>
      <c r="B291" s="2" t="s">
        <v>24</v>
      </c>
      <c r="C291" s="4" t="str">
        <f aca="false">IFERROR(VLOOKUP($B291,Ref_Continente!$A:$B,2,FALSE()),"Sin clasificar")</f>
        <v>Europe</v>
      </c>
      <c r="D291" s="5" t="n">
        <v>7259</v>
      </c>
      <c r="E291" s="6" t="n">
        <v>1656</v>
      </c>
      <c r="F291" s="6" t="n">
        <v>10870</v>
      </c>
      <c r="G291" s="5" t="n">
        <v>55819262374.9</v>
      </c>
      <c r="H291" s="4" t="n">
        <f aca="false">IFERROR(IF(AND(VLOOKUP($B291,Ref_Acuerdos!$A:$E,2,FALSE())="FTA",$A291&gt;=VLOOKUP($B291,Ref_Acuerdos!$A:$E,3,FALSE())),1,0),0)</f>
        <v>0</v>
      </c>
      <c r="I291" s="4" t="n">
        <f aca="false">IFERROR(IF(AND(VLOOKUP($B291,Ref_Acuerdos!$A:$E,2,FALSE())="PTA",$A291&gt;=VLOOKUP($B291,Ref_Acuerdos!$A:$E,3,FALSE())),1,0),0)</f>
        <v>0</v>
      </c>
      <c r="J291" s="7" t="str">
        <f aca="false">IFERROR(IF($A291&gt;=VLOOKUP($B291,Ref_Acuerdos!$A:$E,3,FALSE()),VLOOKUP($B291,Ref_Acuerdos!$A:$E,4,FALSE()),""),"")</f>
        <v/>
      </c>
      <c r="K291" s="4" t="str">
        <f aca="false">IFERROR(IF($A291&gt;=VLOOKUP($B291,Ref_Acuerdos!$A:$E,3,FALSE()),VLOOKUP($B291,Ref_Acuerdos!$A:$E,5,FALSE()),"Sin FTA/PTA vigente ese año - arancel NMF"),"Sin FTA/PTA identificado - arancel NMF")</f>
        <v>Sin FTA/PTA vigente ese año - arancel NMF</v>
      </c>
    </row>
    <row r="292" customFormat="false" ht="15" hidden="false" customHeight="false" outlineLevel="0" collapsed="false">
      <c r="A292" s="2" t="n">
        <v>2013</v>
      </c>
      <c r="B292" s="2" t="s">
        <v>58</v>
      </c>
      <c r="C292" s="4" t="str">
        <f aca="false">IFERROR(VLOOKUP($B292,Ref_Continente!$A:$B,2,FALSE()),"Sin clasificar")</f>
        <v>Asia</v>
      </c>
      <c r="D292" s="5" t="n">
        <v>7131</v>
      </c>
      <c r="E292" s="6" t="n">
        <v>1207</v>
      </c>
      <c r="F292" s="6" t="n">
        <v>12100</v>
      </c>
      <c r="G292" s="5" t="n">
        <v>298478070673.06</v>
      </c>
      <c r="H292" s="4" t="n">
        <f aca="false">IFERROR(IF(AND(VLOOKUP($B292,Ref_Acuerdos!$A:$E,2,FALSE())="FTA",$A292&gt;=VLOOKUP($B292,Ref_Acuerdos!$A:$E,3,FALSE())),1,0),0)</f>
        <v>0</v>
      </c>
      <c r="I292" s="4" t="n">
        <f aca="false">IFERROR(IF(AND(VLOOKUP($B292,Ref_Acuerdos!$A:$E,2,FALSE())="PTA",$A292&gt;=VLOOKUP($B292,Ref_Acuerdos!$A:$E,3,FALSE())),1,0),0)</f>
        <v>0</v>
      </c>
      <c r="J292" s="7" t="str">
        <f aca="false">IFERROR(IF($A292&gt;=VLOOKUP($B292,Ref_Acuerdos!$A:$E,3,FALSE()),VLOOKUP($B292,Ref_Acuerdos!$A:$E,4,FALSE()),""),"")</f>
        <v/>
      </c>
      <c r="K292" s="4" t="str">
        <f aca="false">IFERROR(IF($A292&gt;=VLOOKUP($B292,Ref_Acuerdos!$A:$E,3,FALSE()),VLOOKUP($B292,Ref_Acuerdos!$A:$E,5,FALSE()),"Sin FTA/PTA vigente ese año - arancel NMF"),"Sin FTA/PTA identificado - arancel NMF")</f>
        <v>Sin FTA/PTA identificado - arancel NMF</v>
      </c>
    </row>
    <row r="293" customFormat="false" ht="15" hidden="false" customHeight="false" outlineLevel="0" collapsed="false">
      <c r="A293" s="2" t="n">
        <v>2013</v>
      </c>
      <c r="B293" s="2" t="s">
        <v>40</v>
      </c>
      <c r="C293" s="4" t="str">
        <f aca="false">IFERROR(VLOOKUP($B293,Ref_Continente!$A:$B,2,FALSE()),"Sin clasificar")</f>
        <v>Europe</v>
      </c>
      <c r="D293" s="5" t="n">
        <v>7095</v>
      </c>
      <c r="E293" s="6" t="n">
        <v>1517</v>
      </c>
      <c r="F293" s="6" t="n">
        <v>10400</v>
      </c>
      <c r="G293" s="5" t="n">
        <v>25451032780.76</v>
      </c>
      <c r="H293" s="4" t="n">
        <f aca="false">IFERROR(IF(AND(VLOOKUP($B293,Ref_Acuerdos!$A:$E,2,FALSE())="FTA",$A293&gt;=VLOOKUP($B293,Ref_Acuerdos!$A:$E,3,FALSE())),1,0),0)</f>
        <v>0</v>
      </c>
      <c r="I293" s="4" t="n">
        <f aca="false">IFERROR(IF(AND(VLOOKUP($B293,Ref_Acuerdos!$A:$E,2,FALSE())="PTA",$A293&gt;=VLOOKUP($B293,Ref_Acuerdos!$A:$E,3,FALSE())),1,0),0)</f>
        <v>0</v>
      </c>
      <c r="J293" s="7" t="str">
        <f aca="false">IFERROR(IF($A293&gt;=VLOOKUP($B293,Ref_Acuerdos!$A:$E,3,FALSE()),VLOOKUP($B293,Ref_Acuerdos!$A:$E,4,FALSE()),""),"")</f>
        <v/>
      </c>
      <c r="K293" s="4" t="str">
        <f aca="false">IFERROR(IF($A293&gt;=VLOOKUP($B293,Ref_Acuerdos!$A:$E,3,FALSE()),VLOOKUP($B293,Ref_Acuerdos!$A:$E,5,FALSE()),"Sin FTA/PTA vigente ese año - arancel NMF"),"Sin FTA/PTA identificado - arancel NMF")</f>
        <v>Sin FTA/PTA vigente ese año - arancel NMF</v>
      </c>
    </row>
    <row r="294" customFormat="false" ht="15" hidden="false" customHeight="false" outlineLevel="0" collapsed="false">
      <c r="A294" s="2" t="n">
        <v>2013</v>
      </c>
      <c r="B294" s="2" t="s">
        <v>108</v>
      </c>
      <c r="C294" s="4" t="str">
        <f aca="false">IFERROR(VLOOKUP($B294,Ref_Continente!$A:$B,2,FALSE()),"Sin clasificar")</f>
        <v>Europe</v>
      </c>
      <c r="D294" s="5" t="n">
        <v>6752</v>
      </c>
      <c r="E294" s="6" t="n">
        <v>1411</v>
      </c>
      <c r="F294" s="6" t="n">
        <v>9800</v>
      </c>
      <c r="G294" s="5" t="n">
        <v>706234937370.97</v>
      </c>
      <c r="H294" s="4" t="n">
        <f aca="false">IFERROR(IF(AND(VLOOKUP($B294,Ref_Acuerdos!$A:$E,2,FALSE())="FTA",$A294&gt;=VLOOKUP($B294,Ref_Acuerdos!$A:$E,3,FALSE())),1,0),0)</f>
        <v>0</v>
      </c>
      <c r="I294" s="4" t="n">
        <f aca="false">IFERROR(IF(AND(VLOOKUP($B294,Ref_Acuerdos!$A:$E,2,FALSE())="PTA",$A294&gt;=VLOOKUP($B294,Ref_Acuerdos!$A:$E,3,FALSE())),1,0),0)</f>
        <v>0</v>
      </c>
      <c r="J294" s="7" t="str">
        <f aca="false">IFERROR(IF($A294&gt;=VLOOKUP($B294,Ref_Acuerdos!$A:$E,3,FALSE()),VLOOKUP($B294,Ref_Acuerdos!$A:$E,4,FALSE()),""),"")</f>
        <v/>
      </c>
      <c r="K294" s="4" t="str">
        <f aca="false">IFERROR(IF($A294&gt;=VLOOKUP($B294,Ref_Acuerdos!$A:$E,3,FALSE()),VLOOKUP($B294,Ref_Acuerdos!$A:$E,5,FALSE()),"Sin FTA/PTA vigente ese año - arancel NMF"),"Sin FTA/PTA identificado - arancel NMF")</f>
        <v>Sin FTA/PTA vigente ese año - arancel NMF</v>
      </c>
    </row>
    <row r="295" customFormat="false" ht="15" hidden="false" customHeight="false" outlineLevel="0" collapsed="false">
      <c r="A295" s="2" t="n">
        <v>2013</v>
      </c>
      <c r="B295" s="2" t="s">
        <v>90</v>
      </c>
      <c r="C295" s="4" t="str">
        <f aca="false">IFERROR(VLOOKUP($B295,Ref_Continente!$A:$B,2,FALSE()),"Sin clasificar")</f>
        <v>Europe</v>
      </c>
      <c r="D295" s="5" t="n">
        <v>6256</v>
      </c>
      <c r="E295" s="6" t="n">
        <v>2156</v>
      </c>
      <c r="F295" s="6" t="n">
        <v>10300</v>
      </c>
      <c r="G295" s="5" t="n">
        <v>518179836405.36</v>
      </c>
      <c r="H295" s="4" t="n">
        <f aca="false">IFERROR(IF(AND(VLOOKUP($B295,Ref_Acuerdos!$A:$E,2,FALSE())="FTA",$A295&gt;=VLOOKUP($B295,Ref_Acuerdos!$A:$E,3,FALSE())),1,0),0)</f>
        <v>0</v>
      </c>
      <c r="I295" s="4" t="n">
        <f aca="false">IFERROR(IF(AND(VLOOKUP($B295,Ref_Acuerdos!$A:$E,2,FALSE())="PTA",$A295&gt;=VLOOKUP($B295,Ref_Acuerdos!$A:$E,3,FALSE())),1,0),0)</f>
        <v>0</v>
      </c>
      <c r="J295" s="7" t="str">
        <f aca="false">IFERROR(IF($A295&gt;=VLOOKUP($B295,Ref_Acuerdos!$A:$E,3,FALSE()),VLOOKUP($B295,Ref_Acuerdos!$A:$E,4,FALSE()),""),"")</f>
        <v/>
      </c>
      <c r="K295" s="4" t="str">
        <f aca="false">IFERROR(IF($A295&gt;=VLOOKUP($B295,Ref_Acuerdos!$A:$E,3,FALSE()),VLOOKUP($B295,Ref_Acuerdos!$A:$E,5,FALSE()),"Sin FTA/PTA vigente ese año - arancel NMF"),"Sin FTA/PTA identificado - arancel NMF")</f>
        <v>Sin FTA/PTA vigente ese año - arancel NMF</v>
      </c>
    </row>
    <row r="296" customFormat="false" ht="15" hidden="false" customHeight="false" outlineLevel="0" collapsed="false">
      <c r="A296" s="2" t="n">
        <v>2013</v>
      </c>
      <c r="B296" s="2" t="s">
        <v>12</v>
      </c>
      <c r="C296" s="4" t="str">
        <f aca="false">IFERROR(VLOOKUP($B296,Ref_Continente!$A:$B,2,FALSE()),"Sin clasificar")</f>
        <v>Oceania</v>
      </c>
      <c r="D296" s="5" t="n">
        <v>6168</v>
      </c>
      <c r="E296" s="6" t="n">
        <v>1358</v>
      </c>
      <c r="F296" s="6" t="n">
        <v>14000</v>
      </c>
      <c r="G296" s="5" t="n">
        <v>1583737461925.39</v>
      </c>
      <c r="H296" s="4" t="n">
        <f aca="false">IFERROR(IF(AND(VLOOKUP($B296,Ref_Acuerdos!$A:$E,2,FALSE())="FTA",$A296&gt;=VLOOKUP($B296,Ref_Acuerdos!$A:$E,3,FALSE())),1,0),0)</f>
        <v>0</v>
      </c>
      <c r="I296" s="4" t="n">
        <f aca="false">IFERROR(IF(AND(VLOOKUP($B296,Ref_Acuerdos!$A:$E,2,FALSE())="PTA",$A296&gt;=VLOOKUP($B296,Ref_Acuerdos!$A:$E,3,FALSE())),1,0),0)</f>
        <v>0</v>
      </c>
      <c r="J296" s="7" t="str">
        <f aca="false">IFERROR(IF($A296&gt;=VLOOKUP($B296,Ref_Acuerdos!$A:$E,3,FALSE()),VLOOKUP($B296,Ref_Acuerdos!$A:$E,4,FALSE()),""),"")</f>
        <v/>
      </c>
      <c r="K296" s="4" t="str">
        <f aca="false">IFERROR(IF($A296&gt;=VLOOKUP($B296,Ref_Acuerdos!$A:$E,3,FALSE()),VLOOKUP($B296,Ref_Acuerdos!$A:$E,5,FALSE()),"Sin FTA/PTA vigente ese año - arancel NMF"),"Sin FTA/PTA identificado - arancel NMF")</f>
        <v>Sin FTA/PTA identificado - arancel NMF</v>
      </c>
    </row>
    <row r="297" customFormat="false" ht="15" hidden="false" customHeight="false" outlineLevel="0" collapsed="false">
      <c r="A297" s="2" t="n">
        <v>2013</v>
      </c>
      <c r="B297" s="2" t="s">
        <v>54</v>
      </c>
      <c r="C297" s="4" t="str">
        <f aca="false">IFERROR(VLOOKUP($B297,Ref_Continente!$A:$B,2,FALSE()),"Sin clasificar")</f>
        <v>Asia</v>
      </c>
      <c r="D297" s="5" t="n">
        <v>5222</v>
      </c>
      <c r="E297" s="6" t="n">
        <v>1077</v>
      </c>
      <c r="F297" s="6" t="n">
        <v>19300</v>
      </c>
      <c r="G297" s="5" t="n">
        <v>912524136718.02</v>
      </c>
      <c r="H297" s="4" t="n">
        <f aca="false">IFERROR(IF(AND(VLOOKUP($B297,Ref_Acuerdos!$A:$E,2,FALSE())="FTA",$A297&gt;=VLOOKUP($B297,Ref_Acuerdos!$A:$E,3,FALSE())),1,0),0)</f>
        <v>0</v>
      </c>
      <c r="I297" s="4" t="n">
        <f aca="false">IFERROR(IF(AND(VLOOKUP($B297,Ref_Acuerdos!$A:$E,2,FALSE())="PTA",$A297&gt;=VLOOKUP($B297,Ref_Acuerdos!$A:$E,3,FALSE())),1,0),0)</f>
        <v>0</v>
      </c>
      <c r="J297" s="7" t="str">
        <f aca="false">IFERROR(IF($A297&gt;=VLOOKUP($B297,Ref_Acuerdos!$A:$E,3,FALSE()),VLOOKUP($B297,Ref_Acuerdos!$A:$E,4,FALSE()),""),"")</f>
        <v/>
      </c>
      <c r="K297" s="4" t="str">
        <f aca="false">IFERROR(IF($A297&gt;=VLOOKUP($B297,Ref_Acuerdos!$A:$E,3,FALSE()),VLOOKUP($B297,Ref_Acuerdos!$A:$E,5,FALSE()),"Sin FTA/PTA vigente ese año - arancel NMF"),"Sin FTA/PTA identificado - arancel NMF")</f>
        <v>Sin FTA/PTA identificado - arancel NMF</v>
      </c>
    </row>
    <row r="298" customFormat="false" ht="15" hidden="false" customHeight="false" outlineLevel="0" collapsed="false">
      <c r="A298" s="2" t="n">
        <v>2013</v>
      </c>
      <c r="B298" s="2" t="s">
        <v>35</v>
      </c>
      <c r="C298" s="4" t="str">
        <f aca="false">IFERROR(VLOOKUP($B298,Ref_Continente!$A:$B,2,FALSE()),"Sin clasificar")</f>
        <v>Europe</v>
      </c>
      <c r="D298" s="5" t="n">
        <v>4100</v>
      </c>
      <c r="E298" s="6" t="n">
        <v>105</v>
      </c>
      <c r="F298" s="6" t="n">
        <v>10100</v>
      </c>
      <c r="G298" s="5" t="n">
        <v>213024360541.12</v>
      </c>
      <c r="H298" s="4" t="n">
        <f aca="false">IFERROR(IF(AND(VLOOKUP($B298,Ref_Acuerdos!$A:$E,2,FALSE())="FTA",$A298&gt;=VLOOKUP($B298,Ref_Acuerdos!$A:$E,3,FALSE())),1,0),0)</f>
        <v>0</v>
      </c>
      <c r="I298" s="4" t="n">
        <f aca="false">IFERROR(IF(AND(VLOOKUP($B298,Ref_Acuerdos!$A:$E,2,FALSE())="PTA",$A298&gt;=VLOOKUP($B298,Ref_Acuerdos!$A:$E,3,FALSE())),1,0),0)</f>
        <v>0</v>
      </c>
      <c r="J298" s="7" t="str">
        <f aca="false">IFERROR(IF($A298&gt;=VLOOKUP($B298,Ref_Acuerdos!$A:$E,3,FALSE()),VLOOKUP($B298,Ref_Acuerdos!$A:$E,4,FALSE()),""),"")</f>
        <v/>
      </c>
      <c r="K298" s="4" t="str">
        <f aca="false">IFERROR(IF($A298&gt;=VLOOKUP($B298,Ref_Acuerdos!$A:$E,3,FALSE()),VLOOKUP($B298,Ref_Acuerdos!$A:$E,5,FALSE()),"Sin FTA/PTA vigente ese año - arancel NMF"),"Sin FTA/PTA identificado - arancel NMF")</f>
        <v>Sin FTA/PTA vigente ese año - arancel NMF</v>
      </c>
    </row>
    <row r="299" customFormat="false" ht="15" hidden="false" customHeight="false" outlineLevel="0" collapsed="false">
      <c r="A299" s="2" t="n">
        <v>2013</v>
      </c>
      <c r="B299" s="2" t="s">
        <v>79</v>
      </c>
      <c r="C299" s="4" t="str">
        <f aca="false">IFERROR(VLOOKUP($B299,Ref_Continente!$A:$B,2,FALSE()),"Sin clasificar")</f>
        <v>Oceania</v>
      </c>
      <c r="D299" s="5" t="n">
        <v>4000</v>
      </c>
      <c r="E299" s="6" t="n">
        <v>12</v>
      </c>
      <c r="F299" s="6" t="n">
        <v>10800</v>
      </c>
      <c r="G299" s="5" t="n">
        <v>191012364176.88</v>
      </c>
      <c r="H299" s="4" t="n">
        <f aca="false">IFERROR(IF(AND(VLOOKUP($B299,Ref_Acuerdos!$A:$E,2,FALSE())="FTA",$A299&gt;=VLOOKUP($B299,Ref_Acuerdos!$A:$E,3,FALSE())),1,0),0)</f>
        <v>0</v>
      </c>
      <c r="I299" s="4" t="n">
        <f aca="false">IFERROR(IF(AND(VLOOKUP($B299,Ref_Acuerdos!$A:$E,2,FALSE())="PTA",$A299&gt;=VLOOKUP($B299,Ref_Acuerdos!$A:$E,3,FALSE())),1,0),0)</f>
        <v>0</v>
      </c>
      <c r="J299" s="7" t="str">
        <f aca="false">IFERROR(IF($A299&gt;=VLOOKUP($B299,Ref_Acuerdos!$A:$E,3,FALSE()),VLOOKUP($B299,Ref_Acuerdos!$A:$E,4,FALSE()),""),"")</f>
        <v/>
      </c>
      <c r="K299" s="4" t="str">
        <f aca="false">IFERROR(IF($A299&gt;=VLOOKUP($B299,Ref_Acuerdos!$A:$E,3,FALSE()),VLOOKUP($B299,Ref_Acuerdos!$A:$E,5,FALSE()),"Sin FTA/PTA vigente ese año - arancel NMF"),"Sin FTA/PTA identificado - arancel NMF")</f>
        <v>Sin FTA/PTA identificado - arancel NMF</v>
      </c>
    </row>
    <row r="300" customFormat="false" ht="15" hidden="false" customHeight="false" outlineLevel="0" collapsed="false">
      <c r="A300" s="2" t="n">
        <v>2013</v>
      </c>
      <c r="B300" s="2" t="s">
        <v>95</v>
      </c>
      <c r="C300" s="4" t="str">
        <f aca="false">IFERROR(VLOOKUP($B300,Ref_Continente!$A:$B,2,FALSE()),"Sin clasificar")</f>
        <v>Europe</v>
      </c>
      <c r="D300" s="5" t="n">
        <v>3630</v>
      </c>
      <c r="E300" s="6" t="n">
        <v>970</v>
      </c>
      <c r="F300" s="6" t="n">
        <v>11300</v>
      </c>
      <c r="G300" s="5" t="n">
        <v>189798603751.24</v>
      </c>
      <c r="H300" s="4" t="n">
        <f aca="false">IFERROR(IF(AND(VLOOKUP($B300,Ref_Acuerdos!$A:$E,2,FALSE())="FTA",$A300&gt;=VLOOKUP($B300,Ref_Acuerdos!$A:$E,3,FALSE())),1,0),0)</f>
        <v>0</v>
      </c>
      <c r="I300" s="4" t="n">
        <f aca="false">IFERROR(IF(AND(VLOOKUP($B300,Ref_Acuerdos!$A:$E,2,FALSE())="PTA",$A300&gt;=VLOOKUP($B300,Ref_Acuerdos!$A:$E,3,FALSE())),1,0),0)</f>
        <v>0</v>
      </c>
      <c r="J300" s="7" t="str">
        <f aca="false">IFERROR(IF($A300&gt;=VLOOKUP($B300,Ref_Acuerdos!$A:$E,3,FALSE()),VLOOKUP($B300,Ref_Acuerdos!$A:$E,4,FALSE()),""),"")</f>
        <v/>
      </c>
      <c r="K300" s="4" t="str">
        <f aca="false">IFERROR(IF($A300&gt;=VLOOKUP($B300,Ref_Acuerdos!$A:$E,3,FALSE()),VLOOKUP($B300,Ref_Acuerdos!$A:$E,5,FALSE()),"Sin FTA/PTA vigente ese año - arancel NMF"),"Sin FTA/PTA identificado - arancel NMF")</f>
        <v>Sin FTA/PTA vigente ese año - arancel NMF</v>
      </c>
    </row>
    <row r="301" customFormat="false" ht="15" hidden="false" customHeight="false" outlineLevel="0" collapsed="false">
      <c r="A301" s="2" t="n">
        <v>2013</v>
      </c>
      <c r="B301" s="2" t="s">
        <v>112</v>
      </c>
      <c r="C301" s="4" t="str">
        <f aca="false">IFERROR(VLOOKUP($B301,Ref_Continente!$A:$B,2,FALSE()),"Sin clasificar")</f>
        <v>Asia</v>
      </c>
      <c r="D301" s="5" t="n">
        <v>3081</v>
      </c>
      <c r="E301" s="6" t="n">
        <v>12</v>
      </c>
      <c r="F301" s="6" t="n">
        <v>13800</v>
      </c>
      <c r="G301" s="5" t="n">
        <v>39197543859.65</v>
      </c>
      <c r="H301" s="4" t="n">
        <f aca="false">IFERROR(IF(AND(VLOOKUP($B301,Ref_Acuerdos!$A:$E,2,FALSE())="FTA",$A301&gt;=VLOOKUP($B301,Ref_Acuerdos!$A:$E,3,FALSE())),1,0),0)</f>
        <v>0</v>
      </c>
      <c r="I301" s="4" t="n">
        <f aca="false">IFERROR(IF(AND(VLOOKUP($B301,Ref_Acuerdos!$A:$E,2,FALSE())="PTA",$A301&gt;=VLOOKUP($B301,Ref_Acuerdos!$A:$E,3,FALSE())),1,0),0)</f>
        <v>0</v>
      </c>
      <c r="J301" s="7" t="str">
        <f aca="false">IFERROR(IF($A301&gt;=VLOOKUP($B301,Ref_Acuerdos!$A:$E,3,FALSE()),VLOOKUP($B301,Ref_Acuerdos!$A:$E,4,FALSE()),""),"")</f>
        <v/>
      </c>
      <c r="K301" s="4" t="str">
        <f aca="false">IFERROR(IF($A301&gt;=VLOOKUP($B301,Ref_Acuerdos!$A:$E,3,FALSE()),VLOOKUP($B301,Ref_Acuerdos!$A:$E,5,FALSE()),"Sin FTA/PTA vigente ese año - arancel NMF"),"Sin FTA/PTA identificado - arancel NMF")</f>
        <v>Sin FTA/PTA identificado - arancel NMF</v>
      </c>
    </row>
    <row r="302" customFormat="false" ht="15" hidden="false" customHeight="false" outlineLevel="0" collapsed="false">
      <c r="A302" s="2" t="n">
        <v>2013</v>
      </c>
      <c r="B302" s="2" t="s">
        <v>52</v>
      </c>
      <c r="C302" s="4" t="str">
        <f aca="false">IFERROR(VLOOKUP($B302,Ref_Continente!$A:$B,2,FALSE()),"Sin clasificar")</f>
        <v>Europe</v>
      </c>
      <c r="D302" s="5" t="n">
        <v>2680</v>
      </c>
      <c r="E302" s="6" t="n">
        <v>654</v>
      </c>
      <c r="F302" s="6" t="n">
        <v>10350</v>
      </c>
      <c r="G302" s="5" t="n">
        <v>135646053778.58</v>
      </c>
      <c r="H302" s="4" t="n">
        <f aca="false">IFERROR(IF(AND(VLOOKUP($B302,Ref_Acuerdos!$A:$E,2,FALSE())="FTA",$A302&gt;=VLOOKUP($B302,Ref_Acuerdos!$A:$E,3,FALSE())),1,0),0)</f>
        <v>0</v>
      </c>
      <c r="I302" s="4" t="n">
        <f aca="false">IFERROR(IF(AND(VLOOKUP($B302,Ref_Acuerdos!$A:$E,2,FALSE())="PTA",$A302&gt;=VLOOKUP($B302,Ref_Acuerdos!$A:$E,3,FALSE())),1,0),0)</f>
        <v>0</v>
      </c>
      <c r="J302" s="7" t="str">
        <f aca="false">IFERROR(IF($A302&gt;=VLOOKUP($B302,Ref_Acuerdos!$A:$E,3,FALSE()),VLOOKUP($B302,Ref_Acuerdos!$A:$E,4,FALSE()),""),"")</f>
        <v/>
      </c>
      <c r="K302" s="4" t="str">
        <f aca="false">IFERROR(IF($A302&gt;=VLOOKUP($B302,Ref_Acuerdos!$A:$E,3,FALSE()),VLOOKUP($B302,Ref_Acuerdos!$A:$E,5,FALSE()),"Sin FTA/PTA vigente ese año - arancel NMF"),"Sin FTA/PTA identificado - arancel NMF")</f>
        <v>Sin FTA/PTA vigente ese año - arancel NMF</v>
      </c>
    </row>
    <row r="303" customFormat="false" ht="15" hidden="false" customHeight="false" outlineLevel="0" collapsed="false">
      <c r="A303" s="2" t="n">
        <v>2013</v>
      </c>
      <c r="B303" s="2" t="s">
        <v>8</v>
      </c>
      <c r="C303" s="4" t="str">
        <f aca="false">IFERROR(VLOOKUP($B303,Ref_Continente!$A:$B,2,FALSE()),"Sin clasificar")</f>
        <v>Asia</v>
      </c>
      <c r="D303" s="5" t="n">
        <v>2400</v>
      </c>
      <c r="E303" s="6" t="n">
        <v>1175</v>
      </c>
      <c r="F303" s="6" t="n">
        <v>11600</v>
      </c>
      <c r="G303" s="5" t="n">
        <v>11121464437.04</v>
      </c>
      <c r="H303" s="4" t="n">
        <f aca="false">IFERROR(IF(AND(VLOOKUP($B303,Ref_Acuerdos!$A:$E,2,FALSE())="FTA",$A303&gt;=VLOOKUP($B303,Ref_Acuerdos!$A:$E,3,FALSE())),1,0),0)</f>
        <v>0</v>
      </c>
      <c r="I303" s="4" t="n">
        <f aca="false">IFERROR(IF(AND(VLOOKUP($B303,Ref_Acuerdos!$A:$E,2,FALSE())="PTA",$A303&gt;=VLOOKUP($B303,Ref_Acuerdos!$A:$E,3,FALSE())),1,0),0)</f>
        <v>0</v>
      </c>
      <c r="J303" s="7" t="str">
        <f aca="false">IFERROR(IF($A303&gt;=VLOOKUP($B303,Ref_Acuerdos!$A:$E,3,FALSE()),VLOOKUP($B303,Ref_Acuerdos!$A:$E,4,FALSE()),""),"")</f>
        <v/>
      </c>
      <c r="K303" s="4" t="str">
        <f aca="false">IFERROR(IF($A303&gt;=VLOOKUP($B303,Ref_Acuerdos!$A:$E,3,FALSE()),VLOOKUP($B303,Ref_Acuerdos!$A:$E,5,FALSE()),"Sin FTA/PTA vigente ese año - arancel NMF"),"Sin FTA/PTA identificado - arancel NMF")</f>
        <v>Sin FTA/PTA identificado - arancel NMF</v>
      </c>
    </row>
    <row r="304" customFormat="false" ht="15" hidden="false" customHeight="false" outlineLevel="0" collapsed="false">
      <c r="A304" s="2" t="n">
        <v>2013</v>
      </c>
      <c r="B304" s="2" t="s">
        <v>28</v>
      </c>
      <c r="C304" s="4" t="str">
        <f aca="false">IFERROR(VLOOKUP($B304,Ref_Continente!$A:$B,2,FALSE()),"Sin clasificar")</f>
        <v>Asia</v>
      </c>
      <c r="D304" s="5" t="n">
        <v>2118</v>
      </c>
      <c r="E304" s="6" t="n">
        <v>420</v>
      </c>
      <c r="F304" s="6" t="n">
        <v>17700</v>
      </c>
      <c r="G304" s="5" t="n">
        <v>275696879834.97</v>
      </c>
      <c r="H304" s="4" t="n">
        <f aca="false">IFERROR(IF(AND(VLOOKUP($B304,Ref_Acuerdos!$A:$E,2,FALSE())="FTA",$A304&gt;=VLOOKUP($B304,Ref_Acuerdos!$A:$E,3,FALSE())),1,0),0)</f>
        <v>0</v>
      </c>
      <c r="I304" s="4" t="n">
        <f aca="false">IFERROR(IF(AND(VLOOKUP($B304,Ref_Acuerdos!$A:$E,2,FALSE())="PTA",$A304&gt;=VLOOKUP($B304,Ref_Acuerdos!$A:$E,3,FALSE())),1,0),0)</f>
        <v>0</v>
      </c>
      <c r="J304" s="7" t="str">
        <f aca="false">IFERROR(IF($A304&gt;=VLOOKUP($B304,Ref_Acuerdos!$A:$E,3,FALSE()),VLOOKUP($B304,Ref_Acuerdos!$A:$E,4,FALSE()),""),"")</f>
        <v/>
      </c>
      <c r="K304" s="4" t="str">
        <f aca="false">IFERROR(IF($A304&gt;=VLOOKUP($B304,Ref_Acuerdos!$A:$E,3,FALSE()),VLOOKUP($B304,Ref_Acuerdos!$A:$E,5,FALSE()),"Sin FTA/PTA vigente ese año - arancel NMF"),"Sin FTA/PTA identificado - arancel NMF")</f>
        <v>Sin FTA/PTA identificado - arancel NMF</v>
      </c>
    </row>
    <row r="305" customFormat="false" ht="15" hidden="false" customHeight="false" outlineLevel="0" collapsed="false">
      <c r="A305" s="2" t="n">
        <v>2013</v>
      </c>
      <c r="B305" s="2" t="s">
        <v>71</v>
      </c>
      <c r="C305" s="4" t="str">
        <f aca="false">IFERROR(VLOOKUP($B305,Ref_Continente!$A:$B,2,FALSE()),"Sin clasificar")</f>
        <v>Asia</v>
      </c>
      <c r="D305" s="5" t="n">
        <v>1600</v>
      </c>
      <c r="E305" s="6" t="n">
        <v>320</v>
      </c>
      <c r="F305" s="6" t="n">
        <v>17100</v>
      </c>
      <c r="G305" s="5" t="n">
        <v>3295009237.5</v>
      </c>
      <c r="H305" s="4" t="n">
        <f aca="false">IFERROR(IF(AND(VLOOKUP($B305,Ref_Acuerdos!$A:$E,2,FALSE())="FTA",$A305&gt;=VLOOKUP($B305,Ref_Acuerdos!$A:$E,3,FALSE())),1,0),0)</f>
        <v>0</v>
      </c>
      <c r="I305" s="4" t="n">
        <f aca="false">IFERROR(IF(AND(VLOOKUP($B305,Ref_Acuerdos!$A:$E,2,FALSE())="PTA",$A305&gt;=VLOOKUP($B305,Ref_Acuerdos!$A:$E,3,FALSE())),1,0),0)</f>
        <v>0</v>
      </c>
      <c r="J305" s="7" t="str">
        <f aca="false">IFERROR(IF($A305&gt;=VLOOKUP($B305,Ref_Acuerdos!$A:$E,3,FALSE()),VLOOKUP($B305,Ref_Acuerdos!$A:$E,4,FALSE()),""),"")</f>
        <v/>
      </c>
      <c r="K305" s="4" t="str">
        <f aca="false">IFERROR(IF($A305&gt;=VLOOKUP($B305,Ref_Acuerdos!$A:$E,3,FALSE()),VLOOKUP($B305,Ref_Acuerdos!$A:$E,5,FALSE()),"Sin FTA/PTA vigente ese año - arancel NMF"),"Sin FTA/PTA identificado - arancel NMF")</f>
        <v>Sin FTA/PTA identificado - arancel NMF</v>
      </c>
    </row>
    <row r="306" customFormat="false" ht="15" hidden="false" customHeight="false" outlineLevel="0" collapsed="false">
      <c r="A306" s="2" t="n">
        <v>2013</v>
      </c>
      <c r="B306" s="2" t="s">
        <v>51</v>
      </c>
      <c r="C306" s="4" t="str">
        <f aca="false">IFERROR(VLOOKUP($B306,Ref_Continente!$A:$B,2,FALSE()),"Sin clasificar")</f>
        <v>North America</v>
      </c>
      <c r="D306" s="5" t="n">
        <v>1278</v>
      </c>
      <c r="E306" s="6" t="n">
        <v>301</v>
      </c>
      <c r="F306" s="6" t="n">
        <v>1800</v>
      </c>
      <c r="G306" s="5" t="n">
        <v>18499729214.9</v>
      </c>
      <c r="H306" s="4" t="n">
        <f aca="false">IFERROR(IF(AND(VLOOKUP($B306,Ref_Acuerdos!$A:$E,2,FALSE())="FTA",$A306&gt;=VLOOKUP($B306,Ref_Acuerdos!$A:$E,3,FALSE())),1,0),0)</f>
        <v>0</v>
      </c>
      <c r="I306" s="4" t="n">
        <f aca="false">IFERROR(IF(AND(VLOOKUP($B306,Ref_Acuerdos!$A:$E,2,FALSE())="PTA",$A306&gt;=VLOOKUP($B306,Ref_Acuerdos!$A:$E,3,FALSE())),1,0),0)</f>
        <v>0</v>
      </c>
      <c r="J306" s="7" t="str">
        <f aca="false">IFERROR(IF($A306&gt;=VLOOKUP($B306,Ref_Acuerdos!$A:$E,3,FALSE()),VLOOKUP($B306,Ref_Acuerdos!$A:$E,4,FALSE()),""),"")</f>
        <v/>
      </c>
      <c r="K306" s="4" t="str">
        <f aca="false">IFERROR(IF($A306&gt;=VLOOKUP($B306,Ref_Acuerdos!$A:$E,3,FALSE()),VLOOKUP($B306,Ref_Acuerdos!$A:$E,5,FALSE()),"Sin FTA/PTA vigente ese año - arancel NMF"),"Sin FTA/PTA identificado - arancel NMF")</f>
        <v>Sin FTA/PTA identificado - arancel NMF</v>
      </c>
    </row>
    <row r="307" customFormat="false" ht="15" hidden="false" customHeight="false" outlineLevel="0" collapsed="false">
      <c r="A307" s="2" t="n">
        <v>2013</v>
      </c>
      <c r="B307" s="2" t="s">
        <v>113</v>
      </c>
      <c r="C307" s="4" t="str">
        <f aca="false">IFERROR(VLOOKUP($B307,Ref_Continente!$A:$B,2,FALSE()),"Sin clasificar")</f>
        <v>Europe</v>
      </c>
      <c r="D307" s="5" t="n">
        <v>1250</v>
      </c>
      <c r="E307" s="6" t="n">
        <v>1682</v>
      </c>
      <c r="F307" s="6" t="n">
        <v>11600</v>
      </c>
      <c r="G307" s="5" t="n">
        <v>962167643588.93</v>
      </c>
      <c r="H307" s="4" t="n">
        <f aca="false">IFERROR(IF(AND(VLOOKUP($B307,Ref_Acuerdos!$A:$E,2,FALSE())="FTA",$A307&gt;=VLOOKUP($B307,Ref_Acuerdos!$A:$E,3,FALSE())),1,0),0)</f>
        <v>0</v>
      </c>
      <c r="I307" s="4" t="n">
        <f aca="false">IFERROR(IF(AND(VLOOKUP($B307,Ref_Acuerdos!$A:$E,2,FALSE())="PTA",$A307&gt;=VLOOKUP($B307,Ref_Acuerdos!$A:$E,3,FALSE())),1,0),0)</f>
        <v>0</v>
      </c>
      <c r="J307" s="7" t="str">
        <f aca="false">IFERROR(IF($A307&gt;=VLOOKUP($B307,Ref_Acuerdos!$A:$E,3,FALSE()),VLOOKUP($B307,Ref_Acuerdos!$A:$E,4,FALSE()),""),"")</f>
        <v/>
      </c>
      <c r="K307" s="4" t="str">
        <f aca="false">IFERROR(IF($A307&gt;=VLOOKUP($B307,Ref_Acuerdos!$A:$E,3,FALSE()),VLOOKUP($B307,Ref_Acuerdos!$A:$E,5,FALSE()),"Sin FTA/PTA vigente ese año - arancel NMF"),"Sin FTA/PTA identificado - arancel NMF")</f>
        <v>Sin FTA/PTA identificado - arancel NMF</v>
      </c>
    </row>
    <row r="308" customFormat="false" ht="15" hidden="false" customHeight="false" outlineLevel="0" collapsed="false">
      <c r="A308" s="2" t="n">
        <v>2013</v>
      </c>
      <c r="B308" s="2" t="s">
        <v>85</v>
      </c>
      <c r="C308" s="4" t="str">
        <f aca="false">IFERROR(VLOOKUP($B308,Ref_Continente!$A:$B,2,FALSE()),"Sin clasificar")</f>
        <v>Asia</v>
      </c>
      <c r="D308" s="5" t="n">
        <v>1245</v>
      </c>
      <c r="E308" s="6" t="n">
        <v>1571</v>
      </c>
      <c r="F308" s="6" t="n">
        <v>0</v>
      </c>
      <c r="G308" s="5"/>
      <c r="H308" s="4" t="n">
        <f aca="false">IFERROR(IF(AND(VLOOKUP($B308,Ref_Acuerdos!$A:$E,2,FALSE())="FTA",$A308&gt;=VLOOKUP($B308,Ref_Acuerdos!$A:$E,3,FALSE())),1,0),0)</f>
        <v>0</v>
      </c>
      <c r="I308" s="4" t="n">
        <f aca="false">IFERROR(IF(AND(VLOOKUP($B308,Ref_Acuerdos!$A:$E,2,FALSE())="PTA",$A308&gt;=VLOOKUP($B308,Ref_Acuerdos!$A:$E,3,FALSE())),1,0),0)</f>
        <v>0</v>
      </c>
      <c r="J308" s="7" t="str">
        <f aca="false">IFERROR(IF($A308&gt;=VLOOKUP($B308,Ref_Acuerdos!$A:$E,3,FALSE()),VLOOKUP($B308,Ref_Acuerdos!$A:$E,4,FALSE()),""),"")</f>
        <v/>
      </c>
      <c r="K308" s="4" t="str">
        <f aca="false">IFERROR(IF($A308&gt;=VLOOKUP($B308,Ref_Acuerdos!$A:$E,3,FALSE()),VLOOKUP($B308,Ref_Acuerdos!$A:$E,5,FALSE()),"Sin FTA/PTA vigente ese año - arancel NMF"),"Sin FTA/PTA identificado - arancel NMF")</f>
        <v>Sin FTA/PTA identificado - arancel NMF</v>
      </c>
    </row>
    <row r="309" customFormat="false" ht="15" hidden="false" customHeight="false" outlineLevel="0" collapsed="false">
      <c r="A309" s="2" t="n">
        <v>2013</v>
      </c>
      <c r="B309" s="2" t="s">
        <v>41</v>
      </c>
      <c r="C309" s="4" t="str">
        <f aca="false">IFERROR(VLOOKUP($B309,Ref_Continente!$A:$B,2,FALSE()),"Sin clasificar")</f>
        <v>Europe</v>
      </c>
      <c r="D309" s="5" t="n">
        <v>1236</v>
      </c>
      <c r="E309" s="6" t="n">
        <v>267</v>
      </c>
      <c r="F309" s="6" t="n">
        <v>10450</v>
      </c>
      <c r="G309" s="5" t="n">
        <v>270268036626.28</v>
      </c>
      <c r="H309" s="4" t="n">
        <f aca="false">IFERROR(IF(AND(VLOOKUP($B309,Ref_Acuerdos!$A:$E,2,FALSE())="FTA",$A309&gt;=VLOOKUP($B309,Ref_Acuerdos!$A:$E,3,FALSE())),1,0),0)</f>
        <v>0</v>
      </c>
      <c r="I309" s="4" t="n">
        <f aca="false">IFERROR(IF(AND(VLOOKUP($B309,Ref_Acuerdos!$A:$E,2,FALSE())="PTA",$A309&gt;=VLOOKUP($B309,Ref_Acuerdos!$A:$E,3,FALSE())),1,0),0)</f>
        <v>0</v>
      </c>
      <c r="J309" s="7" t="str">
        <f aca="false">IFERROR(IF($A309&gt;=VLOOKUP($B309,Ref_Acuerdos!$A:$E,3,FALSE()),VLOOKUP($B309,Ref_Acuerdos!$A:$E,4,FALSE()),""),"")</f>
        <v/>
      </c>
      <c r="K309" s="4" t="str">
        <f aca="false">IFERROR(IF($A309&gt;=VLOOKUP($B309,Ref_Acuerdos!$A:$E,3,FALSE()),VLOOKUP($B309,Ref_Acuerdos!$A:$E,5,FALSE()),"Sin FTA/PTA vigente ese año - arancel NMF"),"Sin FTA/PTA identificado - arancel NMF")</f>
        <v>Sin FTA/PTA vigente ese año - arancel NMF</v>
      </c>
    </row>
    <row r="310" customFormat="false" ht="15" hidden="false" customHeight="false" outlineLevel="0" collapsed="false">
      <c r="A310" s="2" t="n">
        <v>2013</v>
      </c>
      <c r="B310" s="2" t="s">
        <v>120</v>
      </c>
      <c r="C310" s="4" t="str">
        <f aca="false">IFERROR(VLOOKUP($B310,Ref_Continente!$A:$B,2,FALSE()),"Sin clasificar")</f>
        <v>Asia</v>
      </c>
      <c r="D310" s="5" t="n">
        <v>1203</v>
      </c>
      <c r="E310" s="6" t="n">
        <v>245</v>
      </c>
      <c r="F310" s="6" t="n">
        <v>17600</v>
      </c>
      <c r="G310" s="5" t="n">
        <v>213708811665.34</v>
      </c>
      <c r="H310" s="4" t="n">
        <f aca="false">IFERROR(IF(AND(VLOOKUP($B310,Ref_Acuerdos!$A:$E,2,FALSE())="FTA",$A310&gt;=VLOOKUP($B310,Ref_Acuerdos!$A:$E,3,FALSE())),1,0),0)</f>
        <v>0</v>
      </c>
      <c r="I310" s="4" t="n">
        <f aca="false">IFERROR(IF(AND(VLOOKUP($B310,Ref_Acuerdos!$A:$E,2,FALSE())="PTA",$A310&gt;=VLOOKUP($B310,Ref_Acuerdos!$A:$E,3,FALSE())),1,0),0)</f>
        <v>0</v>
      </c>
      <c r="J310" s="7" t="str">
        <f aca="false">IFERROR(IF($A310&gt;=VLOOKUP($B310,Ref_Acuerdos!$A:$E,3,FALSE()),VLOOKUP($B310,Ref_Acuerdos!$A:$E,4,FALSE()),""),"")</f>
        <v/>
      </c>
      <c r="K310" s="4" t="str">
        <f aca="false">IFERROR(IF($A310&gt;=VLOOKUP($B310,Ref_Acuerdos!$A:$E,3,FALSE()),VLOOKUP($B310,Ref_Acuerdos!$A:$E,5,FALSE()),"Sin FTA/PTA vigente ese año - arancel NMF"),"Sin FTA/PTA identificado - arancel NMF")</f>
        <v>Sin FTA/PTA identificado - arancel NMF</v>
      </c>
    </row>
    <row r="311" customFormat="false" ht="15" hidden="false" customHeight="false" outlineLevel="0" collapsed="false">
      <c r="A311" s="2" t="n">
        <v>2013</v>
      </c>
      <c r="B311" s="2" t="s">
        <v>102</v>
      </c>
      <c r="C311" s="4" t="str">
        <f aca="false">IFERROR(VLOOKUP($B311,Ref_Continente!$A:$B,2,FALSE()),"Sin clasificar")</f>
        <v>Asia</v>
      </c>
      <c r="D311" s="5" t="n">
        <v>1000</v>
      </c>
      <c r="E311" s="6" t="n">
        <v>210</v>
      </c>
      <c r="F311" s="6" t="n">
        <v>18800</v>
      </c>
      <c r="G311" s="5" t="n">
        <v>307576360584.99</v>
      </c>
      <c r="H311" s="4" t="n">
        <f aca="false">IFERROR(IF(AND(VLOOKUP($B311,Ref_Acuerdos!$A:$E,2,FALSE())="FTA",$A311&gt;=VLOOKUP($B311,Ref_Acuerdos!$A:$E,3,FALSE())),1,0),0)</f>
        <v>0</v>
      </c>
      <c r="I311" s="4" t="n">
        <f aca="false">IFERROR(IF(AND(VLOOKUP($B311,Ref_Acuerdos!$A:$E,2,FALSE())="PTA",$A311&gt;=VLOOKUP($B311,Ref_Acuerdos!$A:$E,3,FALSE())),1,0),0)</f>
        <v>0</v>
      </c>
      <c r="J311" s="7" t="str">
        <f aca="false">IFERROR(IF($A311&gt;=VLOOKUP($B311,Ref_Acuerdos!$A:$E,3,FALSE()),VLOOKUP($B311,Ref_Acuerdos!$A:$E,4,FALSE()),""),"")</f>
        <v/>
      </c>
      <c r="K311" s="4" t="str">
        <f aca="false">IFERROR(IF($A311&gt;=VLOOKUP($B311,Ref_Acuerdos!$A:$E,3,FALSE()),VLOOKUP($B311,Ref_Acuerdos!$A:$E,5,FALSE()),"Sin FTA/PTA vigente ese año - arancel NMF"),"Sin FTA/PTA identificado - arancel NMF")</f>
        <v>Sin FTA/PTA identificado - arancel NMF</v>
      </c>
    </row>
    <row r="312" customFormat="false" ht="15" hidden="false" customHeight="false" outlineLevel="0" collapsed="false">
      <c r="A312" s="2" t="n">
        <v>2013</v>
      </c>
      <c r="B312" s="2" t="s">
        <v>104</v>
      </c>
      <c r="C312" s="4" t="str">
        <f aca="false">IFERROR(VLOOKUP($B312,Ref_Continente!$A:$B,2,FALSE()),"Sin clasificar")</f>
        <v>Europe</v>
      </c>
      <c r="D312" s="5" t="n">
        <v>900</v>
      </c>
      <c r="E312" s="6" t="n">
        <v>225</v>
      </c>
      <c r="F312" s="6" t="n">
        <v>10300</v>
      </c>
      <c r="G312" s="5" t="n">
        <v>47867056858.89</v>
      </c>
      <c r="H312" s="4" t="n">
        <f aca="false">IFERROR(IF(AND(VLOOKUP($B312,Ref_Acuerdos!$A:$E,2,FALSE())="FTA",$A312&gt;=VLOOKUP($B312,Ref_Acuerdos!$A:$E,3,FALSE())),1,0),0)</f>
        <v>0</v>
      </c>
      <c r="I312" s="4" t="n">
        <f aca="false">IFERROR(IF(AND(VLOOKUP($B312,Ref_Acuerdos!$A:$E,2,FALSE())="PTA",$A312&gt;=VLOOKUP($B312,Ref_Acuerdos!$A:$E,3,FALSE())),1,0),0)</f>
        <v>0</v>
      </c>
      <c r="J312" s="7" t="str">
        <f aca="false">IFERROR(IF($A312&gt;=VLOOKUP($B312,Ref_Acuerdos!$A:$E,3,FALSE()),VLOOKUP($B312,Ref_Acuerdos!$A:$E,4,FALSE()),""),"")</f>
        <v/>
      </c>
      <c r="K312" s="4" t="str">
        <f aca="false">IFERROR(IF($A312&gt;=VLOOKUP($B312,Ref_Acuerdos!$A:$E,3,FALSE()),VLOOKUP($B312,Ref_Acuerdos!$A:$E,5,FALSE()),"Sin FTA/PTA vigente ese año - arancel NMF"),"Sin FTA/PTA identificado - arancel NMF")</f>
        <v>Sin FTA/PTA vigente ese año - arancel NMF</v>
      </c>
    </row>
    <row r="313" customFormat="false" ht="15" hidden="false" customHeight="false" outlineLevel="0" collapsed="false">
      <c r="A313" s="2" t="n">
        <v>2013</v>
      </c>
      <c r="B313" s="2" t="s">
        <v>21</v>
      </c>
      <c r="C313" s="4" t="str">
        <f aca="false">IFERROR(VLOOKUP($B313,Ref_Continente!$A:$B,2,FALSE()),"Sin clasificar")</f>
        <v>South America</v>
      </c>
      <c r="D313" s="5" t="n">
        <v>819</v>
      </c>
      <c r="E313" s="6" t="n">
        <v>209</v>
      </c>
      <c r="F313" s="6" t="n">
        <v>2060</v>
      </c>
      <c r="G313" s="5" t="n">
        <v>30659338885.67</v>
      </c>
      <c r="H313" s="4" t="n">
        <f aca="false">IFERROR(IF(AND(VLOOKUP($B313,Ref_Acuerdos!$A:$E,2,FALSE())="FTA",$A313&gt;=VLOOKUP($B313,Ref_Acuerdos!$A:$E,3,FALSE())),1,0),0)</f>
        <v>0</v>
      </c>
      <c r="I313" s="4" t="n">
        <f aca="false">IFERROR(IF(AND(VLOOKUP($B313,Ref_Acuerdos!$A:$E,2,FALSE())="PTA",$A313&gt;=VLOOKUP($B313,Ref_Acuerdos!$A:$E,3,FALSE())),1,0),0)</f>
        <v>1</v>
      </c>
      <c r="J313" s="7" t="n">
        <f aca="false">IFERROR(IF($A313&gt;=VLOOKUP($B313,Ref_Acuerdos!$A:$E,3,FALSE()),VLOOKUP($B313,Ref_Acuerdos!$A:$E,4,FALSE()),""),"")</f>
        <v>0</v>
      </c>
      <c r="K313" s="4" t="str">
        <f aca="false">IFERROR(IF($A313&gt;=VLOOKUP($B313,Ref_Acuerdos!$A:$E,3,FALSE()),VLOOKUP($B313,Ref_Acuerdos!$A:$E,5,FALSE()),"Sin FTA/PTA vigente ese año - arancel NMF"),"Sin FTA/PTA identificado - arancel NMF")</f>
        <v>Comunidad Andina (CAN) - libre comercio intracomunitario</v>
      </c>
    </row>
    <row r="314" customFormat="false" ht="15" hidden="false" customHeight="false" outlineLevel="0" collapsed="false">
      <c r="A314" s="2" t="n">
        <v>2013</v>
      </c>
      <c r="B314" s="2" t="s">
        <v>47</v>
      </c>
      <c r="C314" s="4" t="str">
        <f aca="false">IFERROR(VLOOKUP($B314,Ref_Continente!$A:$B,2,FALSE()),"Sin clasificar")</f>
        <v>Oceania</v>
      </c>
      <c r="D314" s="5" t="n">
        <v>670</v>
      </c>
      <c r="E314" s="6" t="n">
        <v>828</v>
      </c>
      <c r="F314" s="6" t="n">
        <v>14200</v>
      </c>
      <c r="G314" s="5" t="n">
        <v>5399000000</v>
      </c>
      <c r="H314" s="4" t="n">
        <f aca="false">IFERROR(IF(AND(VLOOKUP($B314,Ref_Acuerdos!$A:$E,2,FALSE())="FTA",$A314&gt;=VLOOKUP($B314,Ref_Acuerdos!$A:$E,3,FALSE())),1,0),0)</f>
        <v>0</v>
      </c>
      <c r="I314" s="4" t="n">
        <f aca="false">IFERROR(IF(AND(VLOOKUP($B314,Ref_Acuerdos!$A:$E,2,FALSE())="PTA",$A314&gt;=VLOOKUP($B314,Ref_Acuerdos!$A:$E,3,FALSE())),1,0),0)</f>
        <v>0</v>
      </c>
      <c r="J314" s="7" t="str">
        <f aca="false">IFERROR(IF($A314&gt;=VLOOKUP($B314,Ref_Acuerdos!$A:$E,3,FALSE()),VLOOKUP($B314,Ref_Acuerdos!$A:$E,4,FALSE()),""),"")</f>
        <v/>
      </c>
      <c r="K314" s="4" t="str">
        <f aca="false">IFERROR(IF($A314&gt;=VLOOKUP($B314,Ref_Acuerdos!$A:$E,3,FALSE()),VLOOKUP($B314,Ref_Acuerdos!$A:$E,5,FALSE()),"Sin FTA/PTA vigente ese año - arancel NMF"),"Sin FTA/PTA identificado - arancel NMF")</f>
        <v>Sin FTA/PTA identificado - arancel NMF</v>
      </c>
    </row>
    <row r="315" customFormat="false" ht="15" hidden="false" customHeight="false" outlineLevel="0" collapsed="false">
      <c r="A315" s="2" t="n">
        <v>2013</v>
      </c>
      <c r="B315" s="2" t="s">
        <v>33</v>
      </c>
      <c r="C315" s="4" t="str">
        <f aca="false">IFERROR(VLOOKUP($B315,Ref_Continente!$A:$B,2,FALSE()),"Sin clasificar")</f>
        <v>North America</v>
      </c>
      <c r="D315" s="5" t="n">
        <v>600</v>
      </c>
      <c r="E315" s="6" t="n">
        <v>120</v>
      </c>
      <c r="F315" s="6" t="n">
        <v>2100</v>
      </c>
      <c r="G315" s="5"/>
      <c r="H315" s="4" t="n">
        <f aca="false">IFERROR(IF(AND(VLOOKUP($B315,Ref_Acuerdos!$A:$E,2,FALSE())="FTA",$A315&gt;=VLOOKUP($B315,Ref_Acuerdos!$A:$E,3,FALSE())),1,0),0)</f>
        <v>0</v>
      </c>
      <c r="I315" s="4" t="n">
        <f aca="false">IFERROR(IF(AND(VLOOKUP($B315,Ref_Acuerdos!$A:$E,2,FALSE())="PTA",$A315&gt;=VLOOKUP($B315,Ref_Acuerdos!$A:$E,3,FALSE())),1,0),0)</f>
        <v>0</v>
      </c>
      <c r="J315" s="7" t="str">
        <f aca="false">IFERROR(IF($A315&gt;=VLOOKUP($B315,Ref_Acuerdos!$A:$E,3,FALSE()),VLOOKUP($B315,Ref_Acuerdos!$A:$E,4,FALSE()),""),"")</f>
        <v/>
      </c>
      <c r="K315" s="4" t="str">
        <f aca="false">IFERROR(IF($A315&gt;=VLOOKUP($B315,Ref_Acuerdos!$A:$E,3,FALSE()),VLOOKUP($B315,Ref_Acuerdos!$A:$E,5,FALSE()),"Sin FTA/PTA vigente ese año - arancel NMF"),"Sin FTA/PTA identificado - arancel NMF")</f>
        <v>Sin FTA/PTA identificado - arancel NMF</v>
      </c>
    </row>
    <row r="316" customFormat="false" ht="15" hidden="false" customHeight="false" outlineLevel="0" collapsed="false">
      <c r="A316" s="2" t="n">
        <v>2013</v>
      </c>
      <c r="B316" s="2" t="s">
        <v>60</v>
      </c>
      <c r="C316" s="4" t="str">
        <f aca="false">IFERROR(VLOOKUP($B316,Ref_Continente!$A:$B,2,FALSE()),"Sin clasificar")</f>
        <v>North America</v>
      </c>
      <c r="D316" s="5" t="n">
        <v>532</v>
      </c>
      <c r="E316" s="6" t="n">
        <v>125</v>
      </c>
      <c r="F316" s="6" t="n">
        <v>1900</v>
      </c>
      <c r="G316" s="5" t="n">
        <v>14264205152.61</v>
      </c>
      <c r="H316" s="4" t="n">
        <f aca="false">IFERROR(IF(AND(VLOOKUP($B316,Ref_Acuerdos!$A:$E,2,FALSE())="FTA",$A316&gt;=VLOOKUP($B316,Ref_Acuerdos!$A:$E,3,FALSE())),1,0),0)</f>
        <v>0</v>
      </c>
      <c r="I316" s="4" t="n">
        <f aca="false">IFERROR(IF(AND(VLOOKUP($B316,Ref_Acuerdos!$A:$E,2,FALSE())="PTA",$A316&gt;=VLOOKUP($B316,Ref_Acuerdos!$A:$E,3,FALSE())),1,0),0)</f>
        <v>0</v>
      </c>
      <c r="J316" s="7" t="str">
        <f aca="false">IFERROR(IF($A316&gt;=VLOOKUP($B316,Ref_Acuerdos!$A:$E,3,FALSE()),VLOOKUP($B316,Ref_Acuerdos!$A:$E,4,FALSE()),""),"")</f>
        <v/>
      </c>
      <c r="K316" s="4" t="str">
        <f aca="false">IFERROR(IF($A316&gt;=VLOOKUP($B316,Ref_Acuerdos!$A:$E,3,FALSE()),VLOOKUP($B316,Ref_Acuerdos!$A:$E,5,FALSE()),"Sin FTA/PTA vigente ese año - arancel NMF"),"Sin FTA/PTA identificado - arancel NMF")</f>
        <v>Sin FTA/PTA identificado - arancel NMF</v>
      </c>
    </row>
    <row r="317" customFormat="false" ht="15" hidden="false" customHeight="false" outlineLevel="0" collapsed="false">
      <c r="A317" s="2" t="n">
        <v>2013</v>
      </c>
      <c r="B317" s="2" t="s">
        <v>22</v>
      </c>
      <c r="C317" s="4" t="str">
        <f aca="false">IFERROR(VLOOKUP($B317,Ref_Continente!$A:$B,2,FALSE()),"Sin clasificar")</f>
        <v>Europe</v>
      </c>
      <c r="D317" s="5" t="n">
        <v>446</v>
      </c>
      <c r="E317" s="6" t="n">
        <v>149</v>
      </c>
      <c r="F317" s="6" t="n">
        <v>10500</v>
      </c>
      <c r="G317" s="5"/>
      <c r="H317" s="4" t="n">
        <f aca="false">IFERROR(IF(AND(VLOOKUP($B317,Ref_Acuerdos!$A:$E,2,FALSE())="FTA",$A317&gt;=VLOOKUP($B317,Ref_Acuerdos!$A:$E,3,FALSE())),1,0),0)</f>
        <v>0</v>
      </c>
      <c r="I317" s="4" t="n">
        <f aca="false">IFERROR(IF(AND(VLOOKUP($B317,Ref_Acuerdos!$A:$E,2,FALSE())="PTA",$A317&gt;=VLOOKUP($B317,Ref_Acuerdos!$A:$E,3,FALSE())),1,0),0)</f>
        <v>0</v>
      </c>
      <c r="J317" s="7" t="str">
        <f aca="false">IFERROR(IF($A317&gt;=VLOOKUP($B317,Ref_Acuerdos!$A:$E,3,FALSE()),VLOOKUP($B317,Ref_Acuerdos!$A:$E,4,FALSE()),""),"")</f>
        <v/>
      </c>
      <c r="K317" s="4" t="str">
        <f aca="false">IFERROR(IF($A317&gt;=VLOOKUP($B317,Ref_Acuerdos!$A:$E,3,FALSE()),VLOOKUP($B317,Ref_Acuerdos!$A:$E,5,FALSE()),"Sin FTA/PTA vigente ese año - arancel NMF"),"Sin FTA/PTA identificado - arancel NMF")</f>
        <v>Sin FTA/PTA identificado - arancel NMF</v>
      </c>
    </row>
    <row r="318" customFormat="false" ht="15" hidden="false" customHeight="false" outlineLevel="0" collapsed="false">
      <c r="A318" s="2" t="n">
        <v>2013</v>
      </c>
      <c r="B318" s="2" t="s">
        <v>53</v>
      </c>
      <c r="C318" s="4" t="str">
        <f aca="false">IFERROR(VLOOKUP($B318,Ref_Continente!$A:$B,2,FALSE()),"Sin clasificar")</f>
        <v>Asia</v>
      </c>
      <c r="D318" s="5" t="n">
        <v>400</v>
      </c>
      <c r="E318" s="6" t="n">
        <v>80</v>
      </c>
      <c r="F318" s="6" t="n">
        <v>16200</v>
      </c>
      <c r="G318" s="5" t="n">
        <v>1856721507621.58</v>
      </c>
      <c r="H318" s="4" t="n">
        <f aca="false">IFERROR(IF(AND(VLOOKUP($B318,Ref_Acuerdos!$A:$E,2,FALSE())="FTA",$A318&gt;=VLOOKUP($B318,Ref_Acuerdos!$A:$E,3,FALSE())),1,0),0)</f>
        <v>0</v>
      </c>
      <c r="I318" s="4" t="n">
        <f aca="false">IFERROR(IF(AND(VLOOKUP($B318,Ref_Acuerdos!$A:$E,2,FALSE())="PTA",$A318&gt;=VLOOKUP($B318,Ref_Acuerdos!$A:$E,3,FALSE())),1,0),0)</f>
        <v>0</v>
      </c>
      <c r="J318" s="7" t="str">
        <f aca="false">IFERROR(IF($A318&gt;=VLOOKUP($B318,Ref_Acuerdos!$A:$E,3,FALSE()),VLOOKUP($B318,Ref_Acuerdos!$A:$E,4,FALSE()),""),"")</f>
        <v/>
      </c>
      <c r="K318" s="4" t="str">
        <f aca="false">IFERROR(IF($A318&gt;=VLOOKUP($B318,Ref_Acuerdos!$A:$E,3,FALSE()),VLOOKUP($B318,Ref_Acuerdos!$A:$E,5,FALSE()),"Sin FTA/PTA vigente ese año - arancel NMF"),"Sin FTA/PTA identificado - arancel NMF")</f>
        <v>Sin FTA/PTA identificado - arancel NMF</v>
      </c>
    </row>
    <row r="319" customFormat="false" ht="15" hidden="false" customHeight="false" outlineLevel="0" collapsed="false">
      <c r="A319" s="2" t="n">
        <v>2013</v>
      </c>
      <c r="B319" s="2" t="s">
        <v>119</v>
      </c>
      <c r="C319" s="4" t="str">
        <f aca="false">IFERROR(VLOOKUP($B319,Ref_Continente!$A:$B,2,FALSE()),"Sin clasificar")</f>
        <v>Asia</v>
      </c>
      <c r="D319" s="5" t="n">
        <v>400</v>
      </c>
      <c r="E319" s="6" t="n">
        <v>175</v>
      </c>
      <c r="F319" s="6" t="n">
        <v>14400</v>
      </c>
      <c r="G319" s="5" t="n">
        <v>73180037914.91</v>
      </c>
      <c r="H319" s="4" t="n">
        <f aca="false">IFERROR(IF(AND(VLOOKUP($B319,Ref_Acuerdos!$A:$E,2,FALSE())="FTA",$A319&gt;=VLOOKUP($B319,Ref_Acuerdos!$A:$E,3,FALSE())),1,0),0)</f>
        <v>0</v>
      </c>
      <c r="I319" s="4" t="n">
        <f aca="false">IFERROR(IF(AND(VLOOKUP($B319,Ref_Acuerdos!$A:$E,2,FALSE())="PTA",$A319&gt;=VLOOKUP($B319,Ref_Acuerdos!$A:$E,3,FALSE())),1,0),0)</f>
        <v>0</v>
      </c>
      <c r="J319" s="7" t="str">
        <f aca="false">IFERROR(IF($A319&gt;=VLOOKUP($B319,Ref_Acuerdos!$A:$E,3,FALSE()),VLOOKUP($B319,Ref_Acuerdos!$A:$E,4,FALSE()),""),"")</f>
        <v/>
      </c>
      <c r="K319" s="4" t="str">
        <f aca="false">IFERROR(IF($A319&gt;=VLOOKUP($B319,Ref_Acuerdos!$A:$E,3,FALSE()),VLOOKUP($B319,Ref_Acuerdos!$A:$E,5,FALSE()),"Sin FTA/PTA vigente ese año - arancel NMF"),"Sin FTA/PTA identificado - arancel NMF")</f>
        <v>Sin FTA/PTA identificado - arancel NMF</v>
      </c>
    </row>
    <row r="320" customFormat="false" ht="15" hidden="false" customHeight="false" outlineLevel="0" collapsed="false">
      <c r="A320" s="2" t="n">
        <v>2013</v>
      </c>
      <c r="B320" s="2" t="s">
        <v>82</v>
      </c>
      <c r="C320" s="4" t="str">
        <f aca="false">IFERROR(VLOOKUP($B320,Ref_Continente!$A:$B,2,FALSE()),"Sin clasificar")</f>
        <v>Europe</v>
      </c>
      <c r="D320" s="5" t="n">
        <v>300</v>
      </c>
      <c r="E320" s="6" t="n">
        <v>105</v>
      </c>
      <c r="F320" s="6" t="n">
        <v>11170</v>
      </c>
      <c r="G320" s="5" t="n">
        <v>10817702346.07</v>
      </c>
      <c r="H320" s="4" t="n">
        <f aca="false">IFERROR(IF(AND(VLOOKUP($B320,Ref_Acuerdos!$A:$E,2,FALSE())="FTA",$A320&gt;=VLOOKUP($B320,Ref_Acuerdos!$A:$E,3,FALSE())),1,0),0)</f>
        <v>0</v>
      </c>
      <c r="I320" s="4" t="n">
        <f aca="false">IFERROR(IF(AND(VLOOKUP($B320,Ref_Acuerdos!$A:$E,2,FALSE())="PTA",$A320&gt;=VLOOKUP($B320,Ref_Acuerdos!$A:$E,3,FALSE())),1,0),0)</f>
        <v>0</v>
      </c>
      <c r="J320" s="7" t="str">
        <f aca="false">IFERROR(IF($A320&gt;=VLOOKUP($B320,Ref_Acuerdos!$A:$E,3,FALSE()),VLOOKUP($B320,Ref_Acuerdos!$A:$E,4,FALSE()),""),"")</f>
        <v/>
      </c>
      <c r="K320" s="4" t="str">
        <f aca="false">IFERROR(IF($A320&gt;=VLOOKUP($B320,Ref_Acuerdos!$A:$E,3,FALSE()),VLOOKUP($B320,Ref_Acuerdos!$A:$E,5,FALSE()),"Sin FTA/PTA vigente ese año - arancel NMF"),"Sin FTA/PTA identificado - arancel NMF")</f>
        <v>Sin FTA/PTA identificado - arancel NMF</v>
      </c>
    </row>
    <row r="321" customFormat="false" ht="15" hidden="false" customHeight="false" outlineLevel="0" collapsed="false">
      <c r="A321" s="2" t="n">
        <v>2013</v>
      </c>
      <c r="B321" s="2" t="s">
        <v>93</v>
      </c>
      <c r="C321" s="4" t="str">
        <f aca="false">IFERROR(VLOOKUP($B321,Ref_Continente!$A:$B,2,FALSE()),"Sin clasificar")</f>
        <v>Asia</v>
      </c>
      <c r="D321" s="5" t="n">
        <v>200</v>
      </c>
      <c r="E321" s="6" t="n">
        <v>40</v>
      </c>
      <c r="F321" s="6" t="n">
        <v>15250</v>
      </c>
      <c r="G321" s="5" t="n">
        <v>1434669686501.84</v>
      </c>
      <c r="H321" s="4" t="n">
        <f aca="false">IFERROR(IF(AND(VLOOKUP($B321,Ref_Acuerdos!$A:$E,2,FALSE())="FTA",$A321&gt;=VLOOKUP($B321,Ref_Acuerdos!$A:$E,3,FALSE())),1,0),0)</f>
        <v>0</v>
      </c>
      <c r="I321" s="4" t="n">
        <f aca="false">IFERROR(IF(AND(VLOOKUP($B321,Ref_Acuerdos!$A:$E,2,FALSE())="PTA",$A321&gt;=VLOOKUP($B321,Ref_Acuerdos!$A:$E,3,FALSE())),1,0),0)</f>
        <v>0</v>
      </c>
      <c r="J321" s="7" t="str">
        <f aca="false">IFERROR(IF($A321&gt;=VLOOKUP($B321,Ref_Acuerdos!$A:$E,3,FALSE()),VLOOKUP($B321,Ref_Acuerdos!$A:$E,4,FALSE()),""),"")</f>
        <v/>
      </c>
      <c r="K321" s="4" t="str">
        <f aca="false">IFERROR(IF($A321&gt;=VLOOKUP($B321,Ref_Acuerdos!$A:$E,3,FALSE()),VLOOKUP($B321,Ref_Acuerdos!$A:$E,5,FALSE()),"Sin FTA/PTA vigente ese año - arancel NMF"),"Sin FTA/PTA identificado - arancel NMF")</f>
        <v>Sin FTA/PTA identificado - arancel NMF</v>
      </c>
    </row>
    <row r="322" customFormat="false" ht="15" hidden="false" customHeight="false" outlineLevel="0" collapsed="false">
      <c r="A322" s="2" t="n">
        <v>2013</v>
      </c>
      <c r="B322" s="2" t="s">
        <v>69</v>
      </c>
      <c r="C322" s="4" t="str">
        <f aca="false">IFERROR(VLOOKUP($B322,Ref_Continente!$A:$B,2,FALSE()),"Sin clasificar")</f>
        <v>Europe</v>
      </c>
      <c r="D322" s="5" t="n">
        <v>200</v>
      </c>
      <c r="E322" s="6" t="n">
        <v>700</v>
      </c>
      <c r="F322" s="6" t="n">
        <v>9400</v>
      </c>
      <c r="G322" s="5" t="n">
        <v>65203276466.98</v>
      </c>
      <c r="H322" s="4" t="n">
        <f aca="false">IFERROR(IF(AND(VLOOKUP($B322,Ref_Acuerdos!$A:$E,2,FALSE())="FTA",$A322&gt;=VLOOKUP($B322,Ref_Acuerdos!$A:$E,3,FALSE())),1,0),0)</f>
        <v>0</v>
      </c>
      <c r="I322" s="4" t="n">
        <f aca="false">IFERROR(IF(AND(VLOOKUP($B322,Ref_Acuerdos!$A:$E,2,FALSE())="PTA",$A322&gt;=VLOOKUP($B322,Ref_Acuerdos!$A:$E,3,FALSE())),1,0),0)</f>
        <v>0</v>
      </c>
      <c r="J322" s="7" t="str">
        <f aca="false">IFERROR(IF($A322&gt;=VLOOKUP($B322,Ref_Acuerdos!$A:$E,3,FALSE()),VLOOKUP($B322,Ref_Acuerdos!$A:$E,4,FALSE()),""),"")</f>
        <v/>
      </c>
      <c r="K322" s="4" t="str">
        <f aca="false">IFERROR(IF($A322&gt;=VLOOKUP($B322,Ref_Acuerdos!$A:$E,3,FALSE()),VLOOKUP($B322,Ref_Acuerdos!$A:$E,5,FALSE()),"Sin FTA/PTA vigente ese año - arancel NMF"),"Sin FTA/PTA identificado - arancel NMF")</f>
        <v>Sin FTA/PTA vigente ese año - arancel NMF</v>
      </c>
    </row>
    <row r="323" customFormat="false" ht="15" hidden="false" customHeight="false" outlineLevel="0" collapsed="false">
      <c r="A323" s="2" t="n">
        <v>2013</v>
      </c>
      <c r="B323" s="2" t="s">
        <v>67</v>
      </c>
      <c r="C323" s="4" t="str">
        <f aca="false">IFERROR(VLOOKUP($B323,Ref_Continente!$A:$B,2,FALSE()),"Sin clasificar")</f>
        <v>Asia</v>
      </c>
      <c r="D323" s="5" t="n">
        <v>200</v>
      </c>
      <c r="E323" s="6" t="n">
        <v>700</v>
      </c>
      <c r="F323" s="6" t="n">
        <v>11800</v>
      </c>
      <c r="G323" s="5" t="n">
        <v>46880103080.6</v>
      </c>
      <c r="H323" s="4" t="n">
        <f aca="false">IFERROR(IF(AND(VLOOKUP($B323,Ref_Acuerdos!$A:$E,2,FALSE())="FTA",$A323&gt;=VLOOKUP($B323,Ref_Acuerdos!$A:$E,3,FALSE())),1,0),0)</f>
        <v>0</v>
      </c>
      <c r="I323" s="4" t="n">
        <f aca="false">IFERROR(IF(AND(VLOOKUP($B323,Ref_Acuerdos!$A:$E,2,FALSE())="PTA",$A323&gt;=VLOOKUP($B323,Ref_Acuerdos!$A:$E,3,FALSE())),1,0),0)</f>
        <v>0</v>
      </c>
      <c r="J323" s="7" t="str">
        <f aca="false">IFERROR(IF($A323&gt;=VLOOKUP($B323,Ref_Acuerdos!$A:$E,3,FALSE()),VLOOKUP($B323,Ref_Acuerdos!$A:$E,4,FALSE()),""),"")</f>
        <v/>
      </c>
      <c r="K323" s="4" t="str">
        <f aca="false">IFERROR(IF($A323&gt;=VLOOKUP($B323,Ref_Acuerdos!$A:$E,3,FALSE()),VLOOKUP($B323,Ref_Acuerdos!$A:$E,5,FALSE()),"Sin FTA/PTA vigente ese año - arancel NMF"),"Sin FTA/PTA identificado - arancel NMF")</f>
        <v>Sin FTA/PTA identificado - arancel NMF</v>
      </c>
    </row>
    <row r="324" customFormat="false" ht="15" hidden="false" customHeight="false" outlineLevel="0" collapsed="false">
      <c r="A324" s="2" t="n">
        <v>2013</v>
      </c>
      <c r="B324" s="2" t="s">
        <v>4</v>
      </c>
      <c r="C324" s="4" t="str">
        <f aca="false">IFERROR(VLOOKUP($B324,Ref_Continente!$A:$B,2,FALSE()),"Sin clasificar")</f>
        <v>Sin clasificar</v>
      </c>
      <c r="D324" s="5" t="n">
        <v>180</v>
      </c>
      <c r="E324" s="6" t="n">
        <v>33</v>
      </c>
      <c r="F324" s="6" t="n">
        <v>0</v>
      </c>
      <c r="G324" s="5"/>
      <c r="H324" s="4" t="n">
        <f aca="false">IFERROR(IF(AND(VLOOKUP($B324,Ref_Acuerdos!$A:$E,2,FALSE())="FTA",$A324&gt;=VLOOKUP($B324,Ref_Acuerdos!$A:$E,3,FALSE())),1,0),0)</f>
        <v>0</v>
      </c>
      <c r="I324" s="4" t="n">
        <f aca="false">IFERROR(IF(AND(VLOOKUP($B324,Ref_Acuerdos!$A:$E,2,FALSE())="PTA",$A324&gt;=VLOOKUP($B324,Ref_Acuerdos!$A:$E,3,FALSE())),1,0),0)</f>
        <v>0</v>
      </c>
      <c r="J324" s="7" t="str">
        <f aca="false">IFERROR(IF($A324&gt;=VLOOKUP($B324,Ref_Acuerdos!$A:$E,3,FALSE()),VLOOKUP($B324,Ref_Acuerdos!$A:$E,4,FALSE()),""),"")</f>
        <v/>
      </c>
      <c r="K324" s="4" t="str">
        <f aca="false">IFERROR(IF($A324&gt;=VLOOKUP($B324,Ref_Acuerdos!$A:$E,3,FALSE()),VLOOKUP($B324,Ref_Acuerdos!$A:$E,5,FALSE()),"Sin FTA/PTA vigente ese año - arancel NMF"),"Sin FTA/PTA identificado - arancel NMF")</f>
        <v>Sin FTA/PTA identificado - arancel NMF</v>
      </c>
    </row>
    <row r="325" customFormat="false" ht="15" hidden="false" customHeight="false" outlineLevel="0" collapsed="false">
      <c r="A325" s="2" t="n">
        <v>2013</v>
      </c>
      <c r="B325" s="2" t="s">
        <v>84</v>
      </c>
      <c r="C325" s="4" t="str">
        <f aca="false">IFERROR(VLOOKUP($B325,Ref_Continente!$A:$B,2,FALSE()),"Sin clasificar")</f>
        <v>Asia</v>
      </c>
      <c r="D325" s="5" t="n">
        <v>100</v>
      </c>
      <c r="E325" s="6" t="n">
        <v>20</v>
      </c>
      <c r="F325" s="6" t="n">
        <v>14100</v>
      </c>
      <c r="G325" s="5" t="n">
        <v>89936020806.24</v>
      </c>
      <c r="H325" s="4" t="n">
        <f aca="false">IFERROR(IF(AND(VLOOKUP($B325,Ref_Acuerdos!$A:$E,2,FALSE())="FTA",$A325&gt;=VLOOKUP($B325,Ref_Acuerdos!$A:$E,3,FALSE())),1,0),0)</f>
        <v>0</v>
      </c>
      <c r="I325" s="4" t="n">
        <f aca="false">IFERROR(IF(AND(VLOOKUP($B325,Ref_Acuerdos!$A:$E,2,FALSE())="PTA",$A325&gt;=VLOOKUP($B325,Ref_Acuerdos!$A:$E,3,FALSE())),1,0),0)</f>
        <v>0</v>
      </c>
      <c r="J325" s="7" t="str">
        <f aca="false">IFERROR(IF($A325&gt;=VLOOKUP($B325,Ref_Acuerdos!$A:$E,3,FALSE()),VLOOKUP($B325,Ref_Acuerdos!$A:$E,4,FALSE()),""),"")</f>
        <v/>
      </c>
      <c r="K325" s="4" t="str">
        <f aca="false">IFERROR(IF($A325&gt;=VLOOKUP($B325,Ref_Acuerdos!$A:$E,3,FALSE()),VLOOKUP($B325,Ref_Acuerdos!$A:$E,5,FALSE()),"Sin FTA/PTA vigente ese año - arancel NMF"),"Sin FTA/PTA identificado - arancel NMF")</f>
        <v>Sin FTA/PTA identificado - arancel NMF</v>
      </c>
    </row>
    <row r="326" customFormat="false" ht="15" hidden="false" customHeight="false" outlineLevel="0" collapsed="false">
      <c r="A326" s="2" t="n">
        <v>2014</v>
      </c>
      <c r="B326" s="2" t="s">
        <v>96</v>
      </c>
      <c r="C326" s="4" t="str">
        <f aca="false">IFERROR(VLOOKUP($B326,Ref_Continente!$A:$B,2,FALSE()),"Sin clasificar")</f>
        <v>Europe</v>
      </c>
      <c r="D326" s="5" t="n">
        <v>6206976</v>
      </c>
      <c r="E326" s="6" t="n">
        <v>5124681</v>
      </c>
      <c r="F326" s="6" t="n">
        <v>12000</v>
      </c>
      <c r="G326" s="5" t="n">
        <v>2059241589895.02</v>
      </c>
      <c r="H326" s="4" t="n">
        <f aca="false">IFERROR(IF(AND(VLOOKUP($B326,Ref_Acuerdos!$A:$E,2,FALSE())="FTA",$A326&gt;=VLOOKUP($B326,Ref_Acuerdos!$A:$E,3,FALSE())),1,0),0)</f>
        <v>0</v>
      </c>
      <c r="I326" s="4" t="n">
        <f aca="false">IFERROR(IF(AND(VLOOKUP($B326,Ref_Acuerdos!$A:$E,2,FALSE())="PTA",$A326&gt;=VLOOKUP($B326,Ref_Acuerdos!$A:$E,3,FALSE())),1,0),0)</f>
        <v>0</v>
      </c>
      <c r="J326" s="7" t="str">
        <f aca="false">IFERROR(IF($A326&gt;=VLOOKUP($B326,Ref_Acuerdos!$A:$E,3,FALSE()),VLOOKUP($B326,Ref_Acuerdos!$A:$E,4,FALSE()),""),"")</f>
        <v/>
      </c>
      <c r="K326" s="4" t="str">
        <f aca="false">IFERROR(IF($A326&gt;=VLOOKUP($B326,Ref_Acuerdos!$A:$E,3,FALSE()),VLOOKUP($B326,Ref_Acuerdos!$A:$E,5,FALSE()),"Sin FTA/PTA vigente ese año - arancel NMF"),"Sin FTA/PTA identificado - arancel NMF")</f>
        <v>Sin FTA/PTA identificado - arancel NMF</v>
      </c>
    </row>
    <row r="327" customFormat="false" ht="15" hidden="false" customHeight="false" outlineLevel="0" collapsed="false">
      <c r="A327" s="2" t="n">
        <v>2014</v>
      </c>
      <c r="B327" s="2" t="s">
        <v>61</v>
      </c>
      <c r="C327" s="4" t="str">
        <f aca="false">IFERROR(VLOOKUP($B327,Ref_Continente!$A:$B,2,FALSE()),"Sin clasificar")</f>
        <v>Asia</v>
      </c>
      <c r="D327" s="5" t="n">
        <v>3314813</v>
      </c>
      <c r="E327" s="6" t="n">
        <v>686198</v>
      </c>
      <c r="F327" s="6" t="n">
        <v>14500</v>
      </c>
      <c r="G327" s="5" t="n">
        <v>4896994405353.29</v>
      </c>
      <c r="H327" s="4" t="n">
        <f aca="false">IFERROR(IF(AND(VLOOKUP($B327,Ref_Acuerdos!$A:$E,2,FALSE())="FTA",$A327&gt;=VLOOKUP($B327,Ref_Acuerdos!$A:$E,3,FALSE())),1,0),0)</f>
        <v>0</v>
      </c>
      <c r="I327" s="4" t="n">
        <f aca="false">IFERROR(IF(AND(VLOOKUP($B327,Ref_Acuerdos!$A:$E,2,FALSE())="PTA",$A327&gt;=VLOOKUP($B327,Ref_Acuerdos!$A:$E,3,FALSE())),1,0),0)</f>
        <v>0</v>
      </c>
      <c r="J327" s="7" t="str">
        <f aca="false">IFERROR(IF($A327&gt;=VLOOKUP($B327,Ref_Acuerdos!$A:$E,3,FALSE()),VLOOKUP($B327,Ref_Acuerdos!$A:$E,4,FALSE()),""),"")</f>
        <v/>
      </c>
      <c r="K327" s="4" t="str">
        <f aca="false">IFERROR(IF($A327&gt;=VLOOKUP($B327,Ref_Acuerdos!$A:$E,3,FALSE()),VLOOKUP($B327,Ref_Acuerdos!$A:$E,5,FALSE()),"Sin FTA/PTA vigente ese año - arancel NMF"),"Sin FTA/PTA identificado - arancel NMF")</f>
        <v>Sin FTA/PTA identificado - arancel NMF</v>
      </c>
    </row>
    <row r="328" customFormat="false" ht="15" hidden="false" customHeight="false" outlineLevel="0" collapsed="false">
      <c r="A328" s="2" t="n">
        <v>2014</v>
      </c>
      <c r="B328" s="2" t="s">
        <v>114</v>
      </c>
      <c r="C328" s="4" t="str">
        <f aca="false">IFERROR(VLOOKUP($B328,Ref_Continente!$A:$B,2,FALSE()),"Sin clasificar")</f>
        <v>North America</v>
      </c>
      <c r="D328" s="5" t="n">
        <v>3311270</v>
      </c>
      <c r="E328" s="6" t="n">
        <v>923987</v>
      </c>
      <c r="F328" s="6" t="n">
        <v>4550</v>
      </c>
      <c r="G328" s="5" t="n">
        <v>17550680174000</v>
      </c>
      <c r="H328" s="4" t="n">
        <f aca="false">IFERROR(IF(AND(VLOOKUP($B328,Ref_Acuerdos!$A:$E,2,FALSE())="FTA",$A328&gt;=VLOOKUP($B328,Ref_Acuerdos!$A:$E,3,FALSE())),1,0),0)</f>
        <v>0</v>
      </c>
      <c r="I328" s="4" t="n">
        <f aca="false">IFERROR(IF(AND(VLOOKUP($B328,Ref_Acuerdos!$A:$E,2,FALSE())="PTA",$A328&gt;=VLOOKUP($B328,Ref_Acuerdos!$A:$E,3,FALSE())),1,0),0)</f>
        <v>0</v>
      </c>
      <c r="J328" s="7" t="str">
        <f aca="false">IFERROR(IF($A328&gt;=VLOOKUP($B328,Ref_Acuerdos!$A:$E,3,FALSE()),VLOOKUP($B328,Ref_Acuerdos!$A:$E,4,FALSE()),""),"")</f>
        <v/>
      </c>
      <c r="K328" s="4" t="str">
        <f aca="false">IFERROR(IF($A328&gt;=VLOOKUP($B328,Ref_Acuerdos!$A:$E,3,FALSE()),VLOOKUP($B328,Ref_Acuerdos!$A:$E,5,FALSE()),"Sin FTA/PTA vigente ese año - arancel NMF"),"Sin FTA/PTA identificado - arancel NMF")</f>
        <v>Sin FTA/PTA identificado - arancel NMF</v>
      </c>
    </row>
    <row r="329" customFormat="false" ht="15" hidden="false" customHeight="false" outlineLevel="0" collapsed="false">
      <c r="A329" s="2" t="n">
        <v>2014</v>
      </c>
      <c r="B329" s="2" t="s">
        <v>77</v>
      </c>
      <c r="C329" s="4" t="str">
        <f aca="false">IFERROR(VLOOKUP($B329,Ref_Continente!$A:$B,2,FALSE()),"Sin clasificar")</f>
        <v>Europe</v>
      </c>
      <c r="D329" s="5" t="n">
        <v>1899105</v>
      </c>
      <c r="E329" s="6" t="n">
        <v>454942</v>
      </c>
      <c r="F329" s="6" t="n">
        <v>9300</v>
      </c>
      <c r="G329" s="5" t="n">
        <v>901556501756.47</v>
      </c>
      <c r="H329" s="4" t="n">
        <f aca="false">IFERROR(IF(AND(VLOOKUP($B329,Ref_Acuerdos!$A:$E,2,FALSE())="FTA",$A329&gt;=VLOOKUP($B329,Ref_Acuerdos!$A:$E,3,FALSE())),1,0),0)</f>
        <v>0</v>
      </c>
      <c r="I329" s="4" t="n">
        <f aca="false">IFERROR(IF(AND(VLOOKUP($B329,Ref_Acuerdos!$A:$E,2,FALSE())="PTA",$A329&gt;=VLOOKUP($B329,Ref_Acuerdos!$A:$E,3,FALSE())),1,0),0)</f>
        <v>0</v>
      </c>
      <c r="J329" s="7" t="str">
        <f aca="false">IFERROR(IF($A329&gt;=VLOOKUP($B329,Ref_Acuerdos!$A:$E,3,FALSE()),VLOOKUP($B329,Ref_Acuerdos!$A:$E,4,FALSE()),""),"")</f>
        <v/>
      </c>
      <c r="K329" s="4" t="str">
        <f aca="false">IFERROR(IF($A329&gt;=VLOOKUP($B329,Ref_Acuerdos!$A:$E,3,FALSE()),VLOOKUP($B329,Ref_Acuerdos!$A:$E,5,FALSE()),"Sin FTA/PTA vigente ese año - arancel NMF"),"Sin FTA/PTA identificado - arancel NMF")</f>
        <v>Sin FTA/PTA vigente ese año - arancel NMF</v>
      </c>
    </row>
    <row r="330" customFormat="false" ht="15" hidden="false" customHeight="false" outlineLevel="0" collapsed="false">
      <c r="A330" s="2" t="n">
        <v>2014</v>
      </c>
      <c r="B330" s="2" t="s">
        <v>105</v>
      </c>
      <c r="C330" s="4" t="str">
        <f aca="false">IFERROR(VLOOKUP($B330,Ref_Continente!$A:$B,2,FALSE()),"Sin clasificar")</f>
        <v>Europe</v>
      </c>
      <c r="D330" s="5" t="n">
        <v>631691</v>
      </c>
      <c r="E330" s="6" t="n">
        <v>123952</v>
      </c>
      <c r="F330" s="6" t="n">
        <v>8700</v>
      </c>
      <c r="G330" s="5" t="n">
        <v>1380244561361.96</v>
      </c>
      <c r="H330" s="4" t="n">
        <f aca="false">IFERROR(IF(AND(VLOOKUP($B330,Ref_Acuerdos!$A:$E,2,FALSE())="FTA",$A330&gt;=VLOOKUP($B330,Ref_Acuerdos!$A:$E,3,FALSE())),1,0),0)</f>
        <v>0</v>
      </c>
      <c r="I330" s="4" t="n">
        <f aca="false">IFERROR(IF(AND(VLOOKUP($B330,Ref_Acuerdos!$A:$E,2,FALSE())="PTA",$A330&gt;=VLOOKUP($B330,Ref_Acuerdos!$A:$E,3,FALSE())),1,0),0)</f>
        <v>0</v>
      </c>
      <c r="J330" s="7" t="str">
        <f aca="false">IFERROR(IF($A330&gt;=VLOOKUP($B330,Ref_Acuerdos!$A:$E,3,FALSE()),VLOOKUP($B330,Ref_Acuerdos!$A:$E,4,FALSE()),""),"")</f>
        <v/>
      </c>
      <c r="K330" s="4" t="str">
        <f aca="false">IFERROR(IF($A330&gt;=VLOOKUP($B330,Ref_Acuerdos!$A:$E,3,FALSE()),VLOOKUP($B330,Ref_Acuerdos!$A:$E,5,FALSE()),"Sin FTA/PTA vigente ese año - arancel NMF"),"Sin FTA/PTA identificado - arancel NMF")</f>
        <v>Sin FTA/PTA vigente ese año - arancel NMF</v>
      </c>
    </row>
    <row r="331" customFormat="false" ht="15" hidden="false" customHeight="false" outlineLevel="0" collapsed="false">
      <c r="A331" s="2" t="n">
        <v>2014</v>
      </c>
      <c r="B331" s="2" t="s">
        <v>115</v>
      </c>
      <c r="C331" s="4" t="str">
        <f aca="false">IFERROR(VLOOKUP($B331,Ref_Continente!$A:$B,2,FALSE()),"Sin clasificar")</f>
        <v>Europe</v>
      </c>
      <c r="D331" s="5" t="n">
        <v>315384</v>
      </c>
      <c r="E331" s="6" t="n">
        <v>86617</v>
      </c>
      <c r="F331" s="6" t="n">
        <v>11</v>
      </c>
      <c r="G331" s="5" t="n">
        <v>133503871861.72</v>
      </c>
      <c r="H331" s="4" t="n">
        <f aca="false">IFERROR(IF(AND(VLOOKUP($B331,Ref_Acuerdos!$A:$E,2,FALSE())="FTA",$A331&gt;=VLOOKUP($B331,Ref_Acuerdos!$A:$E,3,FALSE())),1,0),0)</f>
        <v>0</v>
      </c>
      <c r="I331" s="4" t="n">
        <f aca="false">IFERROR(IF(AND(VLOOKUP($B331,Ref_Acuerdos!$A:$E,2,FALSE())="PTA",$A331&gt;=VLOOKUP($B331,Ref_Acuerdos!$A:$E,3,FALSE())),1,0),0)</f>
        <v>0</v>
      </c>
      <c r="J331" s="7" t="str">
        <f aca="false">IFERROR(IF($A331&gt;=VLOOKUP($B331,Ref_Acuerdos!$A:$E,3,FALSE()),VLOOKUP($B331,Ref_Acuerdos!$A:$E,4,FALSE()),""),"")</f>
        <v/>
      </c>
      <c r="K331" s="4" t="str">
        <f aca="false">IFERROR(IF($A331&gt;=VLOOKUP($B331,Ref_Acuerdos!$A:$E,3,FALSE()),VLOOKUP($B331,Ref_Acuerdos!$A:$E,5,FALSE()),"Sin FTA/PTA vigente ese año - arancel NMF"),"Sin FTA/PTA identificado - arancel NMF")</f>
        <v>Sin FTA/PTA identificado - arancel NMF</v>
      </c>
    </row>
    <row r="332" customFormat="false" ht="15" hidden="false" customHeight="false" outlineLevel="0" collapsed="false">
      <c r="A332" s="2" t="n">
        <v>2014</v>
      </c>
      <c r="B332" s="2" t="s">
        <v>25</v>
      </c>
      <c r="C332" s="4" t="str">
        <f aca="false">IFERROR(VLOOKUP($B332,Ref_Continente!$A:$B,2,FALSE()),"Sin clasificar")</f>
        <v>North America</v>
      </c>
      <c r="D332" s="5" t="n">
        <v>172876</v>
      </c>
      <c r="E332" s="6" t="n">
        <v>44785</v>
      </c>
      <c r="F332" s="6" t="n">
        <v>5900</v>
      </c>
      <c r="G332" s="5" t="n">
        <v>1805749878439.94</v>
      </c>
      <c r="H332" s="4" t="n">
        <f aca="false">IFERROR(IF(AND(VLOOKUP($B332,Ref_Acuerdos!$A:$E,2,FALSE())="FTA",$A332&gt;=VLOOKUP($B332,Ref_Acuerdos!$A:$E,3,FALSE())),1,0),0)</f>
        <v>0</v>
      </c>
      <c r="I332" s="4" t="n">
        <f aca="false">IFERROR(IF(AND(VLOOKUP($B332,Ref_Acuerdos!$A:$E,2,FALSE())="PTA",$A332&gt;=VLOOKUP($B332,Ref_Acuerdos!$A:$E,3,FALSE())),1,0),0)</f>
        <v>0</v>
      </c>
      <c r="J332" s="7" t="str">
        <f aca="false">IFERROR(IF($A332&gt;=VLOOKUP($B332,Ref_Acuerdos!$A:$E,3,FALSE()),VLOOKUP($B332,Ref_Acuerdos!$A:$E,4,FALSE()),""),"")</f>
        <v/>
      </c>
      <c r="K332" s="4" t="str">
        <f aca="false">IFERROR(IF($A332&gt;=VLOOKUP($B332,Ref_Acuerdos!$A:$E,3,FALSE()),VLOOKUP($B332,Ref_Acuerdos!$A:$E,5,FALSE()),"Sin FTA/PTA vigente ese año - arancel NMF"),"Sin FTA/PTA identificado - arancel NMF")</f>
        <v>Sin FTA/PTA identificado - arancel NMF</v>
      </c>
    </row>
    <row r="333" customFormat="false" ht="15" hidden="false" customHeight="false" outlineLevel="0" collapsed="false">
      <c r="A333" s="2" t="n">
        <v>2014</v>
      </c>
      <c r="B333" s="2" t="s">
        <v>26</v>
      </c>
      <c r="C333" s="4" t="str">
        <f aca="false">IFERROR(VLOOKUP($B333,Ref_Continente!$A:$B,2,FALSE()),"Sin clasificar")</f>
        <v>South America</v>
      </c>
      <c r="D333" s="5" t="n">
        <v>128772</v>
      </c>
      <c r="E333" s="6" t="n">
        <v>33278</v>
      </c>
      <c r="F333" s="6" t="n">
        <v>2600</v>
      </c>
      <c r="G333" s="5" t="n">
        <v>259560978224.36</v>
      </c>
      <c r="H333" s="4" t="n">
        <f aca="false">IFERROR(IF(AND(VLOOKUP($B333,Ref_Acuerdos!$A:$E,2,FALSE())="FTA",$A333&gt;=VLOOKUP($B333,Ref_Acuerdos!$A:$E,3,FALSE())),1,0),0)</f>
        <v>1</v>
      </c>
      <c r="I333" s="4" t="n">
        <f aca="false">IFERROR(IF(AND(VLOOKUP($B333,Ref_Acuerdos!$A:$E,2,FALSE())="PTA",$A333&gt;=VLOOKUP($B333,Ref_Acuerdos!$A:$E,3,FALSE())),1,0),0)</f>
        <v>0</v>
      </c>
      <c r="J333" s="7" t="n">
        <f aca="false">IFERROR(IF($A333&gt;=VLOOKUP($B333,Ref_Acuerdos!$A:$E,3,FALSE()),VLOOKUP($B333,Ref_Acuerdos!$A:$E,4,FALSE()),""),"")</f>
        <v>0</v>
      </c>
      <c r="K333" s="4" t="str">
        <f aca="false">IFERROR(IF($A333&gt;=VLOOKUP($B333,Ref_Acuerdos!$A:$E,3,FALSE()),VLOOKUP($B333,Ref_Acuerdos!$A:$E,5,FALSE()),"Sin FTA/PTA vigente ese año - arancel NMF"),"Sin FTA/PTA identificado - arancel NMF")</f>
        <v>Ecuador-Chile ACE 65, vigente desde 2010</v>
      </c>
    </row>
    <row r="334" customFormat="false" ht="15" hidden="false" customHeight="false" outlineLevel="0" collapsed="false">
      <c r="A334" s="2" t="n">
        <v>2014</v>
      </c>
      <c r="B334" s="2" t="s">
        <v>59</v>
      </c>
      <c r="C334" s="4" t="str">
        <f aca="false">IFERROR(VLOOKUP($B334,Ref_Continente!$A:$B,2,FALSE()),"Sin clasificar")</f>
        <v>Europe</v>
      </c>
      <c r="D334" s="5" t="n">
        <v>123449</v>
      </c>
      <c r="E334" s="6" t="n">
        <v>30132</v>
      </c>
      <c r="F334" s="6" t="n">
        <v>10100</v>
      </c>
      <c r="G334" s="5" t="n">
        <v>2173255507985.84</v>
      </c>
      <c r="H334" s="4" t="n">
        <f aca="false">IFERROR(IF(AND(VLOOKUP($B334,Ref_Acuerdos!$A:$E,2,FALSE())="FTA",$A334&gt;=VLOOKUP($B334,Ref_Acuerdos!$A:$E,3,FALSE())),1,0),0)</f>
        <v>0</v>
      </c>
      <c r="I334" s="4" t="n">
        <f aca="false">IFERROR(IF(AND(VLOOKUP($B334,Ref_Acuerdos!$A:$E,2,FALSE())="PTA",$A334&gt;=VLOOKUP($B334,Ref_Acuerdos!$A:$E,3,FALSE())),1,0),0)</f>
        <v>0</v>
      </c>
      <c r="J334" s="7" t="str">
        <f aca="false">IFERROR(IF($A334&gt;=VLOOKUP($B334,Ref_Acuerdos!$A:$E,3,FALSE()),VLOOKUP($B334,Ref_Acuerdos!$A:$E,4,FALSE()),""),"")</f>
        <v/>
      </c>
      <c r="K334" s="4" t="str">
        <f aca="false">IFERROR(IF($A334&gt;=VLOOKUP($B334,Ref_Acuerdos!$A:$E,3,FALSE()),VLOOKUP($B334,Ref_Acuerdos!$A:$E,5,FALSE()),"Sin FTA/PTA vigente ese año - arancel NMF"),"Sin FTA/PTA identificado - arancel NMF")</f>
        <v>Sin FTA/PTA vigente ese año - arancel NMF</v>
      </c>
    </row>
    <row r="335" customFormat="false" ht="15" hidden="false" customHeight="false" outlineLevel="0" collapsed="false">
      <c r="A335" s="2" t="n">
        <v>2014</v>
      </c>
      <c r="B335" s="2" t="s">
        <v>68</v>
      </c>
      <c r="C335" s="4" t="str">
        <f aca="false">IFERROR(VLOOKUP($B335,Ref_Continente!$A:$B,2,FALSE()),"Sin clasificar")</f>
        <v>Europe</v>
      </c>
      <c r="D335" s="5" t="n">
        <v>116834</v>
      </c>
      <c r="E335" s="6" t="n">
        <v>2427</v>
      </c>
      <c r="F335" s="6" t="n">
        <v>10250</v>
      </c>
      <c r="G335" s="5" t="n">
        <v>48306546656.93</v>
      </c>
      <c r="H335" s="4" t="n">
        <f aca="false">IFERROR(IF(AND(VLOOKUP($B335,Ref_Acuerdos!$A:$E,2,FALSE())="FTA",$A335&gt;=VLOOKUP($B335,Ref_Acuerdos!$A:$E,3,FALSE())),1,0),0)</f>
        <v>0</v>
      </c>
      <c r="I335" s="4" t="n">
        <f aca="false">IFERROR(IF(AND(VLOOKUP($B335,Ref_Acuerdos!$A:$E,2,FALSE())="PTA",$A335&gt;=VLOOKUP($B335,Ref_Acuerdos!$A:$E,3,FALSE())),1,0),0)</f>
        <v>0</v>
      </c>
      <c r="J335" s="7" t="str">
        <f aca="false">IFERROR(IF($A335&gt;=VLOOKUP($B335,Ref_Acuerdos!$A:$E,3,FALSE()),VLOOKUP($B335,Ref_Acuerdos!$A:$E,4,FALSE()),""),"")</f>
        <v/>
      </c>
      <c r="K335" s="4" t="str">
        <f aca="false">IFERROR(IF($A335&gt;=VLOOKUP($B335,Ref_Acuerdos!$A:$E,3,FALSE()),VLOOKUP($B335,Ref_Acuerdos!$A:$E,5,FALSE()),"Sin FTA/PTA vigente ese año - arancel NMF"),"Sin FTA/PTA identificado - arancel NMF")</f>
        <v>Sin FTA/PTA vigente ese año - arancel NMF</v>
      </c>
    </row>
    <row r="336" customFormat="false" ht="15" hidden="false" customHeight="false" outlineLevel="0" collapsed="false">
      <c r="A336" s="2" t="n">
        <v>2014</v>
      </c>
      <c r="B336" s="2" t="s">
        <v>88</v>
      </c>
      <c r="C336" s="4" t="str">
        <f aca="false">IFERROR(VLOOKUP($B336,Ref_Continente!$A:$B,2,FALSE()),"Sin clasificar")</f>
        <v>South America</v>
      </c>
      <c r="D336" s="5" t="n">
        <v>87779</v>
      </c>
      <c r="E336" s="6" t="n">
        <v>61428</v>
      </c>
      <c r="F336" s="6" t="n">
        <v>1320</v>
      </c>
      <c r="G336" s="5" t="n">
        <v>200786250582.94</v>
      </c>
      <c r="H336" s="4" t="n">
        <f aca="false">IFERROR(IF(AND(VLOOKUP($B336,Ref_Acuerdos!$A:$E,2,FALSE())="FTA",$A336&gt;=VLOOKUP($B336,Ref_Acuerdos!$A:$E,3,FALSE())),1,0),0)</f>
        <v>0</v>
      </c>
      <c r="I336" s="4" t="n">
        <f aca="false">IFERROR(IF(AND(VLOOKUP($B336,Ref_Acuerdos!$A:$E,2,FALSE())="PTA",$A336&gt;=VLOOKUP($B336,Ref_Acuerdos!$A:$E,3,FALSE())),1,0),0)</f>
        <v>1</v>
      </c>
      <c r="J336" s="7" t="n">
        <f aca="false">IFERROR(IF($A336&gt;=VLOOKUP($B336,Ref_Acuerdos!$A:$E,3,FALSE()),VLOOKUP($B336,Ref_Acuerdos!$A:$E,4,FALSE()),""),"")</f>
        <v>0</v>
      </c>
      <c r="K336" s="4" t="str">
        <f aca="false">IFERROR(IF($A336&gt;=VLOOKUP($B336,Ref_Acuerdos!$A:$E,3,FALSE()),VLOOKUP($B336,Ref_Acuerdos!$A:$E,5,FALSE()),"Sin FTA/PTA vigente ese año - arancel NMF"),"Sin FTA/PTA identificado - arancel NMF")</f>
        <v>Comunidad Andina (CAN) - libre comercio intracomunitario</v>
      </c>
    </row>
    <row r="337" customFormat="false" ht="15" hidden="false" customHeight="false" outlineLevel="0" collapsed="false">
      <c r="A337" s="2" t="n">
        <v>2014</v>
      </c>
      <c r="B337" s="2" t="s">
        <v>118</v>
      </c>
      <c r="C337" s="4" t="str">
        <f aca="false">IFERROR(VLOOKUP($B337,Ref_Continente!$A:$B,2,FALSE()),"Sin clasificar")</f>
        <v>South America</v>
      </c>
      <c r="D337" s="5" t="n">
        <v>87552</v>
      </c>
      <c r="E337" s="6" t="n">
        <v>19981</v>
      </c>
      <c r="F337" s="6" t="n">
        <v>4650</v>
      </c>
      <c r="G337" s="5" t="n">
        <v>61496186973.9</v>
      </c>
      <c r="H337" s="4" t="n">
        <f aca="false">IFERROR(IF(AND(VLOOKUP($B337,Ref_Acuerdos!$A:$E,2,FALSE())="FTA",$A337&gt;=VLOOKUP($B337,Ref_Acuerdos!$A:$E,3,FALSE())),1,0),0)</f>
        <v>0</v>
      </c>
      <c r="I337" s="4" t="n">
        <f aca="false">IFERROR(IF(AND(VLOOKUP($B337,Ref_Acuerdos!$A:$E,2,FALSE())="PTA",$A337&gt;=VLOOKUP($B337,Ref_Acuerdos!$A:$E,3,FALSE())),1,0),0)</f>
        <v>1</v>
      </c>
      <c r="J337" s="7" t="n">
        <f aca="false">IFERROR(IF($A337&gt;=VLOOKUP($B337,Ref_Acuerdos!$A:$E,3,FALSE()),VLOOKUP($B337,Ref_Acuerdos!$A:$E,4,FALSE()),""),"")</f>
        <v>5</v>
      </c>
      <c r="K337" s="4" t="str">
        <f aca="false">IFERROR(IF($A337&gt;=VLOOKUP($B337,Ref_Acuerdos!$A:$E,3,FALSE()),VLOOKUP($B337,Ref_Acuerdos!$A:$E,5,FALSE()),"Sin FTA/PTA vigente ese año - arancel NMF"),"Sin FTA/PTA identificado - arancel NMF")</f>
        <v>Ecuador-Mercosur ACE 59 - preferencias parciales (tarifa referencial)</v>
      </c>
    </row>
    <row r="338" customFormat="false" ht="15" hidden="false" customHeight="false" outlineLevel="0" collapsed="false">
      <c r="A338" s="2" t="n">
        <v>2014</v>
      </c>
      <c r="B338" s="2" t="s">
        <v>19</v>
      </c>
      <c r="C338" s="4" t="str">
        <f aca="false">IFERROR(VLOOKUP($B338,Ref_Continente!$A:$B,2,FALSE()),"Sin clasificar")</f>
        <v>Europe</v>
      </c>
      <c r="D338" s="5" t="n">
        <v>83801</v>
      </c>
      <c r="E338" s="6" t="n">
        <v>24144</v>
      </c>
      <c r="F338" s="6" t="n">
        <v>10600</v>
      </c>
      <c r="G338" s="5" t="n">
        <v>78813069121</v>
      </c>
      <c r="H338" s="4" t="n">
        <f aca="false">IFERROR(IF(AND(VLOOKUP($B338,Ref_Acuerdos!$A:$E,2,FALSE())="FTA",$A338&gt;=VLOOKUP($B338,Ref_Acuerdos!$A:$E,3,FALSE())),1,0),0)</f>
        <v>0</v>
      </c>
      <c r="I338" s="4" t="n">
        <f aca="false">IFERROR(IF(AND(VLOOKUP($B338,Ref_Acuerdos!$A:$E,2,FALSE())="PTA",$A338&gt;=VLOOKUP($B338,Ref_Acuerdos!$A:$E,3,FALSE())),1,0),0)</f>
        <v>0</v>
      </c>
      <c r="J338" s="7" t="str">
        <f aca="false">IFERROR(IF($A338&gt;=VLOOKUP($B338,Ref_Acuerdos!$A:$E,3,FALSE()),VLOOKUP($B338,Ref_Acuerdos!$A:$E,4,FALSE()),""),"")</f>
        <v/>
      </c>
      <c r="K338" s="4" t="str">
        <f aca="false">IFERROR(IF($A338&gt;=VLOOKUP($B338,Ref_Acuerdos!$A:$E,3,FALSE()),VLOOKUP($B338,Ref_Acuerdos!$A:$E,5,FALSE()),"Sin FTA/PTA vigente ese año - arancel NMF"),"Sin FTA/PTA identificado - arancel NMF")</f>
        <v>Sin FTA/PTA identificado - arancel NMF</v>
      </c>
    </row>
    <row r="339" customFormat="false" ht="15" hidden="false" customHeight="false" outlineLevel="0" collapsed="false">
      <c r="A339" s="2" t="n">
        <v>2014</v>
      </c>
      <c r="B339" s="2" t="s">
        <v>92</v>
      </c>
      <c r="C339" s="4" t="str">
        <f aca="false">IFERROR(VLOOKUP($B339,Ref_Continente!$A:$B,2,FALSE()),"Sin clasificar")</f>
        <v>Asia</v>
      </c>
      <c r="D339" s="5" t="n">
        <v>74724</v>
      </c>
      <c r="E339" s="6" t="n">
        <v>13733</v>
      </c>
      <c r="F339" s="6" t="n">
        <v>14000</v>
      </c>
      <c r="G339" s="5" t="n">
        <v>206224725274.73</v>
      </c>
      <c r="H339" s="4" t="n">
        <f aca="false">IFERROR(IF(AND(VLOOKUP($B339,Ref_Acuerdos!$A:$E,2,FALSE())="FTA",$A339&gt;=VLOOKUP($B339,Ref_Acuerdos!$A:$E,3,FALSE())),1,0),0)</f>
        <v>0</v>
      </c>
      <c r="I339" s="4" t="n">
        <f aca="false">IFERROR(IF(AND(VLOOKUP($B339,Ref_Acuerdos!$A:$E,2,FALSE())="PTA",$A339&gt;=VLOOKUP($B339,Ref_Acuerdos!$A:$E,3,FALSE())),1,0),0)</f>
        <v>0</v>
      </c>
      <c r="J339" s="7" t="str">
        <f aca="false">IFERROR(IF($A339&gt;=VLOOKUP($B339,Ref_Acuerdos!$A:$E,3,FALSE()),VLOOKUP($B339,Ref_Acuerdos!$A:$E,4,FALSE()),""),"")</f>
        <v/>
      </c>
      <c r="K339" s="4" t="str">
        <f aca="false">IFERROR(IF($A339&gt;=VLOOKUP($B339,Ref_Acuerdos!$A:$E,3,FALSE()),VLOOKUP($B339,Ref_Acuerdos!$A:$E,5,FALSE()),"Sin FTA/PTA vigente ese año - arancel NMF"),"Sin FTA/PTA identificado - arancel NMF")</f>
        <v>Sin FTA/PTA identificado - arancel NMF</v>
      </c>
    </row>
    <row r="340" customFormat="false" ht="15" hidden="false" customHeight="false" outlineLevel="0" collapsed="false">
      <c r="A340" s="2" t="n">
        <v>2014</v>
      </c>
      <c r="B340" s="2" t="s">
        <v>63</v>
      </c>
      <c r="C340" s="4" t="str">
        <f aca="false">IFERROR(VLOOKUP($B340,Ref_Continente!$A:$B,2,FALSE()),"Sin clasificar")</f>
        <v>Asia</v>
      </c>
      <c r="D340" s="5" t="n">
        <v>61628</v>
      </c>
      <c r="E340" s="6" t="n">
        <v>2016759</v>
      </c>
      <c r="F340" s="6" t="n">
        <v>13600</v>
      </c>
      <c r="G340" s="5" t="n">
        <v>221415613595.47</v>
      </c>
      <c r="H340" s="4" t="n">
        <f aca="false">IFERROR(IF(AND(VLOOKUP($B340,Ref_Acuerdos!$A:$E,2,FALSE())="FTA",$A340&gt;=VLOOKUP($B340,Ref_Acuerdos!$A:$E,3,FALSE())),1,0),0)</f>
        <v>0</v>
      </c>
      <c r="I340" s="4" t="n">
        <f aca="false">IFERROR(IF(AND(VLOOKUP($B340,Ref_Acuerdos!$A:$E,2,FALSE())="PTA",$A340&gt;=VLOOKUP($B340,Ref_Acuerdos!$A:$E,3,FALSE())),1,0),0)</f>
        <v>0</v>
      </c>
      <c r="J340" s="7" t="str">
        <f aca="false">IFERROR(IF($A340&gt;=VLOOKUP($B340,Ref_Acuerdos!$A:$E,3,FALSE()),VLOOKUP($B340,Ref_Acuerdos!$A:$E,4,FALSE()),""),"")</f>
        <v/>
      </c>
      <c r="K340" s="4" t="str">
        <f aca="false">IFERROR(IF($A340&gt;=VLOOKUP($B340,Ref_Acuerdos!$A:$E,3,FALSE()),VLOOKUP($B340,Ref_Acuerdos!$A:$E,5,FALSE()),"Sin FTA/PTA vigente ese año - arancel NMF"),"Sin FTA/PTA identificado - arancel NMF")</f>
        <v>Sin FTA/PTA identificado - arancel NMF</v>
      </c>
    </row>
    <row r="341" customFormat="false" ht="15" hidden="false" customHeight="false" outlineLevel="0" collapsed="false">
      <c r="A341" s="2" t="n">
        <v>2014</v>
      </c>
      <c r="B341" s="2" t="s">
        <v>35</v>
      </c>
      <c r="C341" s="4" t="str">
        <f aca="false">IFERROR(VLOOKUP($B341,Ref_Continente!$A:$B,2,FALSE()),"Sin clasificar")</f>
        <v>Europe</v>
      </c>
      <c r="D341" s="5" t="n">
        <v>59068</v>
      </c>
      <c r="E341" s="6" t="n">
        <v>18402</v>
      </c>
      <c r="F341" s="6" t="n">
        <v>10100</v>
      </c>
      <c r="G341" s="5" t="n">
        <v>210911285077.68</v>
      </c>
      <c r="H341" s="4" t="n">
        <f aca="false">IFERROR(IF(AND(VLOOKUP($B341,Ref_Acuerdos!$A:$E,2,FALSE())="FTA",$A341&gt;=VLOOKUP($B341,Ref_Acuerdos!$A:$E,3,FALSE())),1,0),0)</f>
        <v>0</v>
      </c>
      <c r="I341" s="4" t="n">
        <f aca="false">IFERROR(IF(AND(VLOOKUP($B341,Ref_Acuerdos!$A:$E,2,FALSE())="PTA",$A341&gt;=VLOOKUP($B341,Ref_Acuerdos!$A:$E,3,FALSE())),1,0),0)</f>
        <v>0</v>
      </c>
      <c r="J341" s="7" t="str">
        <f aca="false">IFERROR(IF($A341&gt;=VLOOKUP($B341,Ref_Acuerdos!$A:$E,3,FALSE()),VLOOKUP($B341,Ref_Acuerdos!$A:$E,4,FALSE()),""),"")</f>
        <v/>
      </c>
      <c r="K341" s="4" t="str">
        <f aca="false">IFERROR(IF($A341&gt;=VLOOKUP($B341,Ref_Acuerdos!$A:$E,3,FALSE()),VLOOKUP($B341,Ref_Acuerdos!$A:$E,5,FALSE()),"Sin FTA/PTA vigente ese año - arancel NMF"),"Sin FTA/PTA identificado - arancel NMF")</f>
        <v>Sin FTA/PTA vigente ese año - arancel NMF</v>
      </c>
    </row>
    <row r="342" customFormat="false" ht="15" hidden="false" customHeight="false" outlineLevel="0" collapsed="false">
      <c r="A342" s="2" t="n">
        <v>2014</v>
      </c>
      <c r="B342" s="2" t="s">
        <v>29</v>
      </c>
      <c r="C342" s="4" t="str">
        <f aca="false">IFERROR(VLOOKUP($B342,Ref_Continente!$A:$B,2,FALSE()),"Sin clasificar")</f>
        <v>South America</v>
      </c>
      <c r="D342" s="5" t="n">
        <v>51999</v>
      </c>
      <c r="E342" s="6" t="n">
        <v>10228</v>
      </c>
      <c r="F342" s="6" t="n">
        <v>720</v>
      </c>
      <c r="G342" s="5" t="n">
        <v>381240864422.41</v>
      </c>
      <c r="H342" s="4" t="n">
        <f aca="false">IFERROR(IF(AND(VLOOKUP($B342,Ref_Acuerdos!$A:$E,2,FALSE())="FTA",$A342&gt;=VLOOKUP($B342,Ref_Acuerdos!$A:$E,3,FALSE())),1,0),0)</f>
        <v>0</v>
      </c>
      <c r="I342" s="4" t="n">
        <f aca="false">IFERROR(IF(AND(VLOOKUP($B342,Ref_Acuerdos!$A:$E,2,FALSE())="PTA",$A342&gt;=VLOOKUP($B342,Ref_Acuerdos!$A:$E,3,FALSE())),1,0),0)</f>
        <v>1</v>
      </c>
      <c r="J342" s="7" t="n">
        <f aca="false">IFERROR(IF($A342&gt;=VLOOKUP($B342,Ref_Acuerdos!$A:$E,3,FALSE()),VLOOKUP($B342,Ref_Acuerdos!$A:$E,4,FALSE()),""),"")</f>
        <v>0</v>
      </c>
      <c r="K342" s="4" t="str">
        <f aca="false">IFERROR(IF($A342&gt;=VLOOKUP($B342,Ref_Acuerdos!$A:$E,3,FALSE()),VLOOKUP($B342,Ref_Acuerdos!$A:$E,5,FALSE()),"Sin FTA/PTA vigente ese año - arancel NMF"),"Sin FTA/PTA identificado - arancel NMF")</f>
        <v>Comunidad Andina (CAN) - libre comercio intracomunitario</v>
      </c>
    </row>
    <row r="343" customFormat="false" ht="15" hidden="false" customHeight="false" outlineLevel="0" collapsed="false">
      <c r="A343" s="2" t="n">
        <v>2014</v>
      </c>
      <c r="B343" s="2" t="s">
        <v>52</v>
      </c>
      <c r="C343" s="4" t="str">
        <f aca="false">IFERROR(VLOOKUP($B343,Ref_Continente!$A:$B,2,FALSE()),"Sin clasificar")</f>
        <v>Europe</v>
      </c>
      <c r="D343" s="5" t="n">
        <v>42256</v>
      </c>
      <c r="E343" s="6" t="n">
        <v>1315</v>
      </c>
      <c r="F343" s="6" t="n">
        <v>10350</v>
      </c>
      <c r="G343" s="5" t="n">
        <v>141128696412.32</v>
      </c>
      <c r="H343" s="4" t="n">
        <f aca="false">IFERROR(IF(AND(VLOOKUP($B343,Ref_Acuerdos!$A:$E,2,FALSE())="FTA",$A343&gt;=VLOOKUP($B343,Ref_Acuerdos!$A:$E,3,FALSE())),1,0),0)</f>
        <v>0</v>
      </c>
      <c r="I343" s="4" t="n">
        <f aca="false">IFERROR(IF(AND(VLOOKUP($B343,Ref_Acuerdos!$A:$E,2,FALSE())="PTA",$A343&gt;=VLOOKUP($B343,Ref_Acuerdos!$A:$E,3,FALSE())),1,0),0)</f>
        <v>0</v>
      </c>
      <c r="J343" s="7" t="str">
        <f aca="false">IFERROR(IF($A343&gt;=VLOOKUP($B343,Ref_Acuerdos!$A:$E,3,FALSE()),VLOOKUP($B343,Ref_Acuerdos!$A:$E,4,FALSE()),""),"")</f>
        <v/>
      </c>
      <c r="K343" s="4" t="str">
        <f aca="false">IFERROR(IF($A343&gt;=VLOOKUP($B343,Ref_Acuerdos!$A:$E,3,FALSE()),VLOOKUP($B343,Ref_Acuerdos!$A:$E,5,FALSE()),"Sin FTA/PTA vigente ese año - arancel NMF"),"Sin FTA/PTA identificado - arancel NMF")</f>
        <v>Sin FTA/PTA vigente ese año - arancel NMF</v>
      </c>
    </row>
    <row r="344" customFormat="false" ht="15" hidden="false" customHeight="false" outlineLevel="0" collapsed="false">
      <c r="A344" s="2" t="n">
        <v>2014</v>
      </c>
      <c r="B344" s="2" t="s">
        <v>45</v>
      </c>
      <c r="C344" s="4" t="str">
        <f aca="false">IFERROR(VLOOKUP($B344,Ref_Continente!$A:$B,2,FALSE()),"Sin clasificar")</f>
        <v>Europe</v>
      </c>
      <c r="D344" s="5" t="n">
        <v>41914</v>
      </c>
      <c r="E344" s="6" t="n">
        <v>14216</v>
      </c>
      <c r="F344" s="6" t="n">
        <v>9650</v>
      </c>
      <c r="G344" s="5" t="n">
        <v>3964870735760.77</v>
      </c>
      <c r="H344" s="4" t="n">
        <f aca="false">IFERROR(IF(AND(VLOOKUP($B344,Ref_Acuerdos!$A:$E,2,FALSE())="FTA",$A344&gt;=VLOOKUP($B344,Ref_Acuerdos!$A:$E,3,FALSE())),1,0),0)</f>
        <v>0</v>
      </c>
      <c r="I344" s="4" t="n">
        <f aca="false">IFERROR(IF(AND(VLOOKUP($B344,Ref_Acuerdos!$A:$E,2,FALSE())="PTA",$A344&gt;=VLOOKUP($B344,Ref_Acuerdos!$A:$E,3,FALSE())),1,0),0)</f>
        <v>0</v>
      </c>
      <c r="J344" s="7" t="str">
        <f aca="false">IFERROR(IF($A344&gt;=VLOOKUP($B344,Ref_Acuerdos!$A:$E,3,FALSE()),VLOOKUP($B344,Ref_Acuerdos!$A:$E,4,FALSE()),""),"")</f>
        <v/>
      </c>
      <c r="K344" s="4" t="str">
        <f aca="false">IFERROR(IF($A344&gt;=VLOOKUP($B344,Ref_Acuerdos!$A:$E,3,FALSE()),VLOOKUP($B344,Ref_Acuerdos!$A:$E,5,FALSE()),"Sin FTA/PTA vigente ese año - arancel NMF"),"Sin FTA/PTA identificado - arancel NMF")</f>
        <v>Sin FTA/PTA vigente ese año - arancel NMF</v>
      </c>
    </row>
    <row r="345" customFormat="false" ht="15" hidden="false" customHeight="false" outlineLevel="0" collapsed="false">
      <c r="A345" s="2" t="n">
        <v>2014</v>
      </c>
      <c r="B345" s="2" t="s">
        <v>32</v>
      </c>
      <c r="C345" s="4" t="str">
        <f aca="false">IFERROR(VLOOKUP($B345,Ref_Continente!$A:$B,2,FALSE()),"Sin clasificar")</f>
        <v>North America</v>
      </c>
      <c r="D345" s="5" t="n">
        <v>36349</v>
      </c>
      <c r="E345" s="6" t="n">
        <v>7135</v>
      </c>
      <c r="F345" s="6" t="n">
        <v>2450</v>
      </c>
      <c r="G345" s="5" t="n">
        <v>80656100000</v>
      </c>
      <c r="H345" s="4" t="n">
        <f aca="false">IFERROR(IF(AND(VLOOKUP($B345,Ref_Acuerdos!$A:$E,2,FALSE())="FTA",$A345&gt;=VLOOKUP($B345,Ref_Acuerdos!$A:$E,3,FALSE())),1,0),0)</f>
        <v>0</v>
      </c>
      <c r="I345" s="4" t="n">
        <f aca="false">IFERROR(IF(AND(VLOOKUP($B345,Ref_Acuerdos!$A:$E,2,FALSE())="PTA",$A345&gt;=VLOOKUP($B345,Ref_Acuerdos!$A:$E,3,FALSE())),1,0),0)</f>
        <v>1</v>
      </c>
      <c r="J345" s="7" t="n">
        <f aca="false">IFERROR(IF($A345&gt;=VLOOKUP($B345,Ref_Acuerdos!$A:$E,3,FALSE()),VLOOKUP($B345,Ref_Acuerdos!$A:$E,4,FALSE()),""),"")</f>
        <v>10</v>
      </c>
      <c r="K345" s="4" t="str">
        <f aca="false">IFERROR(IF($A345&gt;=VLOOKUP($B345,Ref_Acuerdos!$A:$E,3,FALSE()),VLOOKUP($B345,Ref_Acuerdos!$A:$E,5,FALSE()),"Sin FTA/PTA vigente ese año - arancel NMF"),"Sin FTA/PTA identificado - arancel NMF")</f>
        <v>ALADI - Acuerdo de Alcance Parcial (preferencia limitada, tarifa referencial)</v>
      </c>
    </row>
    <row r="346" customFormat="false" ht="15" hidden="false" customHeight="false" outlineLevel="0" collapsed="false">
      <c r="A346" s="2" t="n">
        <v>2014</v>
      </c>
      <c r="B346" s="2" t="s">
        <v>37</v>
      </c>
      <c r="C346" s="4" t="str">
        <f aca="false">IFERROR(VLOOKUP($B346,Ref_Continente!$A:$B,2,FALSE()),"Sin clasificar")</f>
        <v>North America</v>
      </c>
      <c r="D346" s="5" t="n">
        <v>29435</v>
      </c>
      <c r="E346" s="6" t="n">
        <v>5776</v>
      </c>
      <c r="F346" s="6" t="n">
        <v>2200</v>
      </c>
      <c r="G346" s="5" t="n">
        <v>67014329099.55</v>
      </c>
      <c r="H346" s="4" t="n">
        <f aca="false">IFERROR(IF(AND(VLOOKUP($B346,Ref_Acuerdos!$A:$E,2,FALSE())="FTA",$A346&gt;=VLOOKUP($B346,Ref_Acuerdos!$A:$E,3,FALSE())),1,0),0)</f>
        <v>0</v>
      </c>
      <c r="I346" s="4" t="n">
        <f aca="false">IFERROR(IF(AND(VLOOKUP($B346,Ref_Acuerdos!$A:$E,2,FALSE())="PTA",$A346&gt;=VLOOKUP($B346,Ref_Acuerdos!$A:$E,3,FALSE())),1,0),0)</f>
        <v>0</v>
      </c>
      <c r="J346" s="7" t="str">
        <f aca="false">IFERROR(IF($A346&gt;=VLOOKUP($B346,Ref_Acuerdos!$A:$E,3,FALSE()),VLOOKUP($B346,Ref_Acuerdos!$A:$E,4,FALSE()),""),"")</f>
        <v/>
      </c>
      <c r="K346" s="4" t="str">
        <f aca="false">IFERROR(IF($A346&gt;=VLOOKUP($B346,Ref_Acuerdos!$A:$E,3,FALSE()),VLOOKUP($B346,Ref_Acuerdos!$A:$E,5,FALSE()),"Sin FTA/PTA vigente ese año - arancel NMF"),"Sin FTA/PTA identificado - arancel NMF")</f>
        <v>Sin FTA/PTA identificado - arancel NMF</v>
      </c>
    </row>
    <row r="347" customFormat="false" ht="15" hidden="false" customHeight="false" outlineLevel="0" collapsed="false">
      <c r="A347" s="2" t="n">
        <v>2014</v>
      </c>
      <c r="B347" s="2" t="s">
        <v>64</v>
      </c>
      <c r="C347" s="4" t="str">
        <f aca="false">IFERROR(VLOOKUP($B347,Ref_Continente!$A:$B,2,FALSE()),"Sin clasificar")</f>
        <v>Asia</v>
      </c>
      <c r="D347" s="5" t="n">
        <v>26432</v>
      </c>
      <c r="E347" s="6" t="n">
        <v>6494</v>
      </c>
      <c r="F347" s="6" t="n">
        <v>13500</v>
      </c>
      <c r="G347" s="5" t="n">
        <v>162650450684.73</v>
      </c>
      <c r="H347" s="4" t="n">
        <f aca="false">IFERROR(IF(AND(VLOOKUP($B347,Ref_Acuerdos!$A:$E,2,FALSE())="FTA",$A347&gt;=VLOOKUP($B347,Ref_Acuerdos!$A:$E,3,FALSE())),1,0),0)</f>
        <v>0</v>
      </c>
      <c r="I347" s="4" t="n">
        <f aca="false">IFERROR(IF(AND(VLOOKUP($B347,Ref_Acuerdos!$A:$E,2,FALSE())="PTA",$A347&gt;=VLOOKUP($B347,Ref_Acuerdos!$A:$E,3,FALSE())),1,0),0)</f>
        <v>0</v>
      </c>
      <c r="J347" s="7" t="str">
        <f aca="false">IFERROR(IF($A347&gt;=VLOOKUP($B347,Ref_Acuerdos!$A:$E,3,FALSE()),VLOOKUP($B347,Ref_Acuerdos!$A:$E,4,FALSE()),""),"")</f>
        <v/>
      </c>
      <c r="K347" s="4" t="str">
        <f aca="false">IFERROR(IF($A347&gt;=VLOOKUP($B347,Ref_Acuerdos!$A:$E,3,FALSE()),VLOOKUP($B347,Ref_Acuerdos!$A:$E,5,FALSE()),"Sin FTA/PTA vigente ese año - arancel NMF"),"Sin FTA/PTA identificado - arancel NMF")</f>
        <v>Sin FTA/PTA identificado - arancel NMF</v>
      </c>
    </row>
    <row r="348" customFormat="false" ht="15" hidden="false" customHeight="false" outlineLevel="0" collapsed="false">
      <c r="A348" s="2" t="n">
        <v>2014</v>
      </c>
      <c r="B348" s="2" t="s">
        <v>116</v>
      </c>
      <c r="C348" s="4" t="str">
        <f aca="false">IFERROR(VLOOKUP($B348,Ref_Continente!$A:$B,2,FALSE()),"Sin clasificar")</f>
        <v>Asia</v>
      </c>
      <c r="D348" s="5" t="n">
        <v>26096</v>
      </c>
      <c r="E348" s="6" t="n">
        <v>7018</v>
      </c>
      <c r="F348" s="6" t="n">
        <v>14200</v>
      </c>
      <c r="G348" s="5" t="n">
        <v>424935874744.72</v>
      </c>
      <c r="H348" s="4" t="n">
        <f aca="false">IFERROR(IF(AND(VLOOKUP($B348,Ref_Acuerdos!$A:$E,2,FALSE())="FTA",$A348&gt;=VLOOKUP($B348,Ref_Acuerdos!$A:$E,3,FALSE())),1,0),0)</f>
        <v>0</v>
      </c>
      <c r="I348" s="4" t="n">
        <f aca="false">IFERROR(IF(AND(VLOOKUP($B348,Ref_Acuerdos!$A:$E,2,FALSE())="PTA",$A348&gt;=VLOOKUP($B348,Ref_Acuerdos!$A:$E,3,FALSE())),1,0),0)</f>
        <v>0</v>
      </c>
      <c r="J348" s="7" t="str">
        <f aca="false">IFERROR(IF($A348&gt;=VLOOKUP($B348,Ref_Acuerdos!$A:$E,3,FALSE()),VLOOKUP($B348,Ref_Acuerdos!$A:$E,4,FALSE()),""),"")</f>
        <v/>
      </c>
      <c r="K348" s="4" t="str">
        <f aca="false">IFERROR(IF($A348&gt;=VLOOKUP($B348,Ref_Acuerdos!$A:$E,3,FALSE()),VLOOKUP($B348,Ref_Acuerdos!$A:$E,5,FALSE()),"Sin FTA/PTA vigente ese año - arancel NMF"),"Sin FTA/PTA identificado - arancel NMF")</f>
        <v>Sin FTA/PTA identificado - arancel NMF</v>
      </c>
    </row>
    <row r="349" customFormat="false" ht="15" hidden="false" customHeight="false" outlineLevel="0" collapsed="false">
      <c r="A349" s="2" t="n">
        <v>2014</v>
      </c>
      <c r="B349" s="2" t="s">
        <v>66</v>
      </c>
      <c r="C349" s="4" t="str">
        <f aca="false">IFERROR(VLOOKUP($B349,Ref_Continente!$A:$B,2,FALSE()),"Sin clasificar")</f>
        <v>Europe</v>
      </c>
      <c r="D349" s="5" t="n">
        <v>24906</v>
      </c>
      <c r="E349" s="6" t="n">
        <v>5142</v>
      </c>
      <c r="F349" s="6" t="n">
        <v>10400</v>
      </c>
      <c r="G349" s="5" t="n">
        <v>30277203767.41</v>
      </c>
      <c r="H349" s="4" t="n">
        <f aca="false">IFERROR(IF(AND(VLOOKUP($B349,Ref_Acuerdos!$A:$E,2,FALSE())="FTA",$A349&gt;=VLOOKUP($B349,Ref_Acuerdos!$A:$E,3,FALSE())),1,0),0)</f>
        <v>0</v>
      </c>
      <c r="I349" s="4" t="n">
        <f aca="false">IFERROR(IF(AND(VLOOKUP($B349,Ref_Acuerdos!$A:$E,2,FALSE())="PTA",$A349&gt;=VLOOKUP($B349,Ref_Acuerdos!$A:$E,3,FALSE())),1,0),0)</f>
        <v>0</v>
      </c>
      <c r="J349" s="7" t="str">
        <f aca="false">IFERROR(IF($A349&gt;=VLOOKUP($B349,Ref_Acuerdos!$A:$E,3,FALSE()),VLOOKUP($B349,Ref_Acuerdos!$A:$E,4,FALSE()),""),"")</f>
        <v/>
      </c>
      <c r="K349" s="4" t="str">
        <f aca="false">IFERROR(IF($A349&gt;=VLOOKUP($B349,Ref_Acuerdos!$A:$E,3,FALSE()),VLOOKUP($B349,Ref_Acuerdos!$A:$E,5,FALSE()),"Sin FTA/PTA vigente ese año - arancel NMF"),"Sin FTA/PTA identificado - arancel NMF")</f>
        <v>Sin FTA/PTA vigente ese año - arancel NMF</v>
      </c>
    </row>
    <row r="350" customFormat="false" ht="15" hidden="false" customHeight="false" outlineLevel="0" collapsed="false">
      <c r="A350" s="2" t="n">
        <v>2014</v>
      </c>
      <c r="B350" s="2" t="s">
        <v>91</v>
      </c>
      <c r="C350" s="4" t="str">
        <f aca="false">IFERROR(VLOOKUP($B350,Ref_Continente!$A:$B,2,FALSE()),"Sin clasificar")</f>
        <v>Europe</v>
      </c>
      <c r="D350" s="5" t="n">
        <v>20678</v>
      </c>
      <c r="E350" s="6" t="n">
        <v>3772</v>
      </c>
      <c r="F350" s="6" t="n">
        <v>8700</v>
      </c>
      <c r="G350" s="5" t="n">
        <v>230078616299.68</v>
      </c>
      <c r="H350" s="4" t="n">
        <f aca="false">IFERROR(IF(AND(VLOOKUP($B350,Ref_Acuerdos!$A:$E,2,FALSE())="FTA",$A350&gt;=VLOOKUP($B350,Ref_Acuerdos!$A:$E,3,FALSE())),1,0),0)</f>
        <v>0</v>
      </c>
      <c r="I350" s="4" t="n">
        <f aca="false">IFERROR(IF(AND(VLOOKUP($B350,Ref_Acuerdos!$A:$E,2,FALSE())="PTA",$A350&gt;=VLOOKUP($B350,Ref_Acuerdos!$A:$E,3,FALSE())),1,0),0)</f>
        <v>0</v>
      </c>
      <c r="J350" s="7" t="str">
        <f aca="false">IFERROR(IF($A350&gt;=VLOOKUP($B350,Ref_Acuerdos!$A:$E,3,FALSE()),VLOOKUP($B350,Ref_Acuerdos!$A:$E,4,FALSE()),""),"")</f>
        <v/>
      </c>
      <c r="K350" s="4" t="str">
        <f aca="false">IFERROR(IF($A350&gt;=VLOOKUP($B350,Ref_Acuerdos!$A:$E,3,FALSE()),VLOOKUP($B350,Ref_Acuerdos!$A:$E,5,FALSE()),"Sin FTA/PTA vigente ese año - arancel NMF"),"Sin FTA/PTA identificado - arancel NMF")</f>
        <v>Sin FTA/PTA vigente ese año - arancel NMF</v>
      </c>
    </row>
    <row r="351" customFormat="false" ht="15" hidden="false" customHeight="false" outlineLevel="0" collapsed="false">
      <c r="A351" s="2" t="n">
        <v>2014</v>
      </c>
      <c r="B351" s="2" t="s">
        <v>86</v>
      </c>
      <c r="C351" s="4" t="str">
        <f aca="false">IFERROR(VLOOKUP($B351,Ref_Continente!$A:$B,2,FALSE()),"Sin clasificar")</f>
        <v>North America</v>
      </c>
      <c r="D351" s="5" t="n">
        <v>19980</v>
      </c>
      <c r="E351" s="6" t="n">
        <v>5086</v>
      </c>
      <c r="F351" s="6" t="n">
        <v>1020</v>
      </c>
      <c r="G351" s="5" t="n">
        <v>51427104881.97</v>
      </c>
      <c r="H351" s="4" t="n">
        <f aca="false">IFERROR(IF(AND(VLOOKUP($B351,Ref_Acuerdos!$A:$E,2,FALSE())="FTA",$A351&gt;=VLOOKUP($B351,Ref_Acuerdos!$A:$E,3,FALSE())),1,0),0)</f>
        <v>0</v>
      </c>
      <c r="I351" s="4" t="n">
        <f aca="false">IFERROR(IF(AND(VLOOKUP($B351,Ref_Acuerdos!$A:$E,2,FALSE())="PTA",$A351&gt;=VLOOKUP($B351,Ref_Acuerdos!$A:$E,3,FALSE())),1,0),0)</f>
        <v>1</v>
      </c>
      <c r="J351" s="7" t="n">
        <f aca="false">IFERROR(IF($A351&gt;=VLOOKUP($B351,Ref_Acuerdos!$A:$E,3,FALSE()),VLOOKUP($B351,Ref_Acuerdos!$A:$E,4,FALSE()),""),"")</f>
        <v>10</v>
      </c>
      <c r="K351" s="4" t="str">
        <f aca="false">IFERROR(IF($A351&gt;=VLOOKUP($B351,Ref_Acuerdos!$A:$E,3,FALSE()),VLOOKUP($B351,Ref_Acuerdos!$A:$E,5,FALSE()),"Sin FTA/PTA vigente ese año - arancel NMF"),"Sin FTA/PTA identificado - arancel NMF")</f>
        <v>ALADI - Acuerdo de Alcance Parcial (preferencia limitada, tarifa referencial)</v>
      </c>
    </row>
    <row r="352" customFormat="false" ht="15" hidden="false" customHeight="false" outlineLevel="0" collapsed="false">
      <c r="A352" s="2" t="n">
        <v>2014</v>
      </c>
      <c r="B352" s="2" t="s">
        <v>80</v>
      </c>
      <c r="C352" s="4" t="str">
        <f aca="false">IFERROR(VLOOKUP($B352,Ref_Continente!$A:$B,2,FALSE()),"Sin clasificar")</f>
        <v>North America</v>
      </c>
      <c r="D352" s="5" t="n">
        <v>18023</v>
      </c>
      <c r="E352" s="6" t="n">
        <v>3201</v>
      </c>
      <c r="F352" s="6" t="n">
        <v>1730</v>
      </c>
      <c r="G352" s="5" t="n">
        <v>11880438824.45</v>
      </c>
      <c r="H352" s="4" t="n">
        <f aca="false">IFERROR(IF(AND(VLOOKUP($B352,Ref_Acuerdos!$A:$E,2,FALSE())="FTA",$A352&gt;=VLOOKUP($B352,Ref_Acuerdos!$A:$E,3,FALSE())),1,0),0)</f>
        <v>0</v>
      </c>
      <c r="I352" s="4" t="n">
        <f aca="false">IFERROR(IF(AND(VLOOKUP($B352,Ref_Acuerdos!$A:$E,2,FALSE())="PTA",$A352&gt;=VLOOKUP($B352,Ref_Acuerdos!$A:$E,3,FALSE())),1,0),0)</f>
        <v>1</v>
      </c>
      <c r="J352" s="7" t="n">
        <f aca="false">IFERROR(IF($A352&gt;=VLOOKUP($B352,Ref_Acuerdos!$A:$E,3,FALSE()),VLOOKUP($B352,Ref_Acuerdos!$A:$E,4,FALSE()),""),"")</f>
        <v>10</v>
      </c>
      <c r="K352" s="4" t="str">
        <f aca="false">IFERROR(IF($A352&gt;=VLOOKUP($B352,Ref_Acuerdos!$A:$E,3,FALSE()),VLOOKUP($B352,Ref_Acuerdos!$A:$E,5,FALSE()),"Sin FTA/PTA vigente ese año - arancel NMF"),"Sin FTA/PTA identificado - arancel NMF")</f>
        <v>ALADI - Acuerdo de Alcance Parcial (preferencia limitada, tarifa referencial)</v>
      </c>
    </row>
    <row r="353" customFormat="false" ht="15" hidden="false" customHeight="false" outlineLevel="0" collapsed="false">
      <c r="A353" s="2" t="n">
        <v>2014</v>
      </c>
      <c r="B353" s="2" t="s">
        <v>94</v>
      </c>
      <c r="C353" s="4" t="str">
        <f aca="false">IFERROR(VLOOKUP($B353,Ref_Continente!$A:$B,2,FALSE()),"Sin clasificar")</f>
        <v>Europe</v>
      </c>
      <c r="D353" s="5" t="n">
        <v>18019</v>
      </c>
      <c r="E353" s="6" t="n">
        <v>3955</v>
      </c>
      <c r="F353" s="6" t="n">
        <v>11000</v>
      </c>
      <c r="G353" s="5" t="n">
        <v>9402090137.74</v>
      </c>
      <c r="H353" s="4" t="n">
        <f aca="false">IFERROR(IF(AND(VLOOKUP($B353,Ref_Acuerdos!$A:$E,2,FALSE())="FTA",$A353&gt;=VLOOKUP($B353,Ref_Acuerdos!$A:$E,3,FALSE())),1,0),0)</f>
        <v>0</v>
      </c>
      <c r="I353" s="4" t="n">
        <f aca="false">IFERROR(IF(AND(VLOOKUP($B353,Ref_Acuerdos!$A:$E,2,FALSE())="PTA",$A353&gt;=VLOOKUP($B353,Ref_Acuerdos!$A:$E,3,FALSE())),1,0),0)</f>
        <v>0</v>
      </c>
      <c r="J353" s="7" t="str">
        <f aca="false">IFERROR(IF($A353&gt;=VLOOKUP($B353,Ref_Acuerdos!$A:$E,3,FALSE()),VLOOKUP($B353,Ref_Acuerdos!$A:$E,4,FALSE()),""),"")</f>
        <v/>
      </c>
      <c r="K353" s="4" t="str">
        <f aca="false">IFERROR(IF($A353&gt;=VLOOKUP($B353,Ref_Acuerdos!$A:$E,3,FALSE()),VLOOKUP($B353,Ref_Acuerdos!$A:$E,5,FALSE()),"Sin FTA/PTA vigente ese año - arancel NMF"),"Sin FTA/PTA identificado - arancel NMF")</f>
        <v>Sin FTA/PTA identificado - arancel NMF</v>
      </c>
    </row>
    <row r="354" customFormat="false" ht="15" hidden="false" customHeight="false" outlineLevel="0" collapsed="false">
      <c r="A354" s="2" t="n">
        <v>2014</v>
      </c>
      <c r="B354" s="2" t="s">
        <v>12</v>
      </c>
      <c r="C354" s="4" t="str">
        <f aca="false">IFERROR(VLOOKUP($B354,Ref_Continente!$A:$B,2,FALSE()),"Sin clasificar")</f>
        <v>Oceania</v>
      </c>
      <c r="D354" s="5" t="n">
        <v>13633</v>
      </c>
      <c r="E354" s="6" t="n">
        <v>2216</v>
      </c>
      <c r="F354" s="6" t="n">
        <v>14000</v>
      </c>
      <c r="G354" s="5" t="n">
        <v>1474677007565.64</v>
      </c>
      <c r="H354" s="4" t="n">
        <f aca="false">IFERROR(IF(AND(VLOOKUP($B354,Ref_Acuerdos!$A:$E,2,FALSE())="FTA",$A354&gt;=VLOOKUP($B354,Ref_Acuerdos!$A:$E,3,FALSE())),1,0),0)</f>
        <v>0</v>
      </c>
      <c r="I354" s="4" t="n">
        <f aca="false">IFERROR(IF(AND(VLOOKUP($B354,Ref_Acuerdos!$A:$E,2,FALSE())="PTA",$A354&gt;=VLOOKUP($B354,Ref_Acuerdos!$A:$E,3,FALSE())),1,0),0)</f>
        <v>0</v>
      </c>
      <c r="J354" s="7" t="str">
        <f aca="false">IFERROR(IF($A354&gt;=VLOOKUP($B354,Ref_Acuerdos!$A:$E,3,FALSE()),VLOOKUP($B354,Ref_Acuerdos!$A:$E,4,FALSE()),""),"")</f>
        <v/>
      </c>
      <c r="K354" s="4" t="str">
        <f aca="false">IFERROR(IF($A354&gt;=VLOOKUP($B354,Ref_Acuerdos!$A:$E,3,FALSE()),VLOOKUP($B354,Ref_Acuerdos!$A:$E,5,FALSE()),"Sin FTA/PTA vigente ese año - arancel NMF"),"Sin FTA/PTA identificado - arancel NMF")</f>
        <v>Sin FTA/PTA identificado - arancel NMF</v>
      </c>
    </row>
    <row r="355" customFormat="false" ht="15" hidden="false" customHeight="false" outlineLevel="0" collapsed="false">
      <c r="A355" s="2" t="n">
        <v>2014</v>
      </c>
      <c r="B355" s="2" t="s">
        <v>65</v>
      </c>
      <c r="C355" s="4" t="str">
        <f aca="false">IFERROR(VLOOKUP($B355,Ref_Continente!$A:$B,2,FALSE()),"Sin clasificar")</f>
        <v>Asia</v>
      </c>
      <c r="D355" s="5" t="n">
        <v>11241</v>
      </c>
      <c r="E355" s="6" t="n">
        <v>385</v>
      </c>
      <c r="F355" s="6" t="n">
        <v>14300</v>
      </c>
      <c r="G355" s="5"/>
      <c r="H355" s="4" t="n">
        <f aca="false">IFERROR(IF(AND(VLOOKUP($B355,Ref_Acuerdos!$A:$E,2,FALSE())="FTA",$A355&gt;=VLOOKUP($B355,Ref_Acuerdos!$A:$E,3,FALSE())),1,0),0)</f>
        <v>0</v>
      </c>
      <c r="I355" s="4" t="n">
        <f aca="false">IFERROR(IF(AND(VLOOKUP($B355,Ref_Acuerdos!$A:$E,2,FALSE())="PTA",$A355&gt;=VLOOKUP($B355,Ref_Acuerdos!$A:$E,3,FALSE())),1,0),0)</f>
        <v>0</v>
      </c>
      <c r="J355" s="7" t="str">
        <f aca="false">IFERROR(IF($A355&gt;=VLOOKUP($B355,Ref_Acuerdos!$A:$E,3,FALSE()),VLOOKUP($B355,Ref_Acuerdos!$A:$E,4,FALSE()),""),"")</f>
        <v/>
      </c>
      <c r="K355" s="4" t="str">
        <f aca="false">IFERROR(IF($A355&gt;=VLOOKUP($B355,Ref_Acuerdos!$A:$E,3,FALSE()),VLOOKUP($B355,Ref_Acuerdos!$A:$E,5,FALSE()),"Sin FTA/PTA vigente ese año - arancel NMF"),"Sin FTA/PTA identificado - arancel NMF")</f>
        <v>Sin FTA/PTA identificado - arancel NMF</v>
      </c>
    </row>
    <row r="356" customFormat="false" ht="15" hidden="false" customHeight="false" outlineLevel="0" collapsed="false">
      <c r="A356" s="2" t="n">
        <v>2014</v>
      </c>
      <c r="B356" s="2" t="s">
        <v>40</v>
      </c>
      <c r="C356" s="4" t="str">
        <f aca="false">IFERROR(VLOOKUP($B356,Ref_Continente!$A:$B,2,FALSE()),"Sin clasificar")</f>
        <v>Europe</v>
      </c>
      <c r="D356" s="5" t="n">
        <v>10707</v>
      </c>
      <c r="E356" s="6" t="n">
        <v>1409</v>
      </c>
      <c r="F356" s="6" t="n">
        <v>10400</v>
      </c>
      <c r="G356" s="5" t="n">
        <v>27055689003</v>
      </c>
      <c r="H356" s="4" t="n">
        <f aca="false">IFERROR(IF(AND(VLOOKUP($B356,Ref_Acuerdos!$A:$E,2,FALSE())="FTA",$A356&gt;=VLOOKUP($B356,Ref_Acuerdos!$A:$E,3,FALSE())),1,0),0)</f>
        <v>0</v>
      </c>
      <c r="I356" s="4" t="n">
        <f aca="false">IFERROR(IF(AND(VLOOKUP($B356,Ref_Acuerdos!$A:$E,2,FALSE())="PTA",$A356&gt;=VLOOKUP($B356,Ref_Acuerdos!$A:$E,3,FALSE())),1,0),0)</f>
        <v>0</v>
      </c>
      <c r="J356" s="7" t="str">
        <f aca="false">IFERROR(IF($A356&gt;=VLOOKUP($B356,Ref_Acuerdos!$A:$E,3,FALSE()),VLOOKUP($B356,Ref_Acuerdos!$A:$E,4,FALSE()),""),"")</f>
        <v/>
      </c>
      <c r="K356" s="4" t="str">
        <f aca="false">IFERROR(IF($A356&gt;=VLOOKUP($B356,Ref_Acuerdos!$A:$E,3,FALSE()),VLOOKUP($B356,Ref_Acuerdos!$A:$E,5,FALSE()),"Sin FTA/PTA vigente ese año - arancel NMF"),"Sin FTA/PTA identificado - arancel NMF")</f>
        <v>Sin FTA/PTA vigente ese año - arancel NMF</v>
      </c>
    </row>
    <row r="357" customFormat="false" ht="15" hidden="false" customHeight="false" outlineLevel="0" collapsed="false">
      <c r="A357" s="2" t="n">
        <v>2014</v>
      </c>
      <c r="B357" s="2" t="s">
        <v>42</v>
      </c>
      <c r="C357" s="4" t="str">
        <f aca="false">IFERROR(VLOOKUP($B357,Ref_Continente!$A:$B,2,FALSE()),"Sin clasificar")</f>
        <v>Europe</v>
      </c>
      <c r="D357" s="5" t="n">
        <v>10137</v>
      </c>
      <c r="E357" s="6" t="n">
        <v>2275</v>
      </c>
      <c r="F357" s="6" t="n">
        <v>9150</v>
      </c>
      <c r="G357" s="5" t="n">
        <v>2861236112552.42</v>
      </c>
      <c r="H357" s="4" t="n">
        <f aca="false">IFERROR(IF(AND(VLOOKUP($B357,Ref_Acuerdos!$A:$E,2,FALSE())="FTA",$A357&gt;=VLOOKUP($B357,Ref_Acuerdos!$A:$E,3,FALSE())),1,0),0)</f>
        <v>0</v>
      </c>
      <c r="I357" s="4" t="n">
        <f aca="false">IFERROR(IF(AND(VLOOKUP($B357,Ref_Acuerdos!$A:$E,2,FALSE())="PTA",$A357&gt;=VLOOKUP($B357,Ref_Acuerdos!$A:$E,3,FALSE())),1,0),0)</f>
        <v>0</v>
      </c>
      <c r="J357" s="7" t="str">
        <f aca="false">IFERROR(IF($A357&gt;=VLOOKUP($B357,Ref_Acuerdos!$A:$E,3,FALSE()),VLOOKUP($B357,Ref_Acuerdos!$A:$E,4,FALSE()),""),"")</f>
        <v/>
      </c>
      <c r="K357" s="4" t="str">
        <f aca="false">IFERROR(IF($A357&gt;=VLOOKUP($B357,Ref_Acuerdos!$A:$E,3,FALSE()),VLOOKUP($B357,Ref_Acuerdos!$A:$E,5,FALSE()),"Sin FTA/PTA vigente ese año - arancel NMF"),"Sin FTA/PTA identificado - arancel NMF")</f>
        <v>Sin FTA/PTA vigente ese año - arancel NMF</v>
      </c>
    </row>
    <row r="358" customFormat="false" ht="15" hidden="false" customHeight="false" outlineLevel="0" collapsed="false">
      <c r="A358" s="2" t="n">
        <v>2014</v>
      </c>
      <c r="B358" s="2" t="s">
        <v>16</v>
      </c>
      <c r="C358" s="4" t="str">
        <f aca="false">IFERROR(VLOOKUP($B358,Ref_Continente!$A:$B,2,FALSE()),"Sin clasificar")</f>
        <v>Asia</v>
      </c>
      <c r="D358" s="5" t="n">
        <v>7679</v>
      </c>
      <c r="E358" s="6" t="n">
        <v>1776</v>
      </c>
      <c r="F358" s="6" t="n">
        <v>13100</v>
      </c>
      <c r="G358" s="5" t="n">
        <v>75239785452.1</v>
      </c>
      <c r="H358" s="4" t="n">
        <f aca="false">IFERROR(IF(AND(VLOOKUP($B358,Ref_Acuerdos!$A:$E,2,FALSE())="FTA",$A358&gt;=VLOOKUP($B358,Ref_Acuerdos!$A:$E,3,FALSE())),1,0),0)</f>
        <v>0</v>
      </c>
      <c r="I358" s="4" t="n">
        <f aca="false">IFERROR(IF(AND(VLOOKUP($B358,Ref_Acuerdos!$A:$E,2,FALSE())="PTA",$A358&gt;=VLOOKUP($B358,Ref_Acuerdos!$A:$E,3,FALSE())),1,0),0)</f>
        <v>0</v>
      </c>
      <c r="J358" s="7" t="str">
        <f aca="false">IFERROR(IF($A358&gt;=VLOOKUP($B358,Ref_Acuerdos!$A:$E,3,FALSE()),VLOOKUP($B358,Ref_Acuerdos!$A:$E,4,FALSE()),""),"")</f>
        <v/>
      </c>
      <c r="K358" s="4" t="str">
        <f aca="false">IFERROR(IF($A358&gt;=VLOOKUP($B358,Ref_Acuerdos!$A:$E,3,FALSE()),VLOOKUP($B358,Ref_Acuerdos!$A:$E,5,FALSE()),"Sin FTA/PTA vigente ese año - arancel NMF"),"Sin FTA/PTA identificado - arancel NMF")</f>
        <v>Sin FTA/PTA identificado - arancel NMF</v>
      </c>
    </row>
    <row r="359" customFormat="false" ht="15" hidden="false" customHeight="false" outlineLevel="0" collapsed="false">
      <c r="A359" s="2" t="n">
        <v>2014</v>
      </c>
      <c r="B359" s="2" t="s">
        <v>87</v>
      </c>
      <c r="C359" s="4" t="str">
        <f aca="false">IFERROR(VLOOKUP($B359,Ref_Continente!$A:$B,2,FALSE()),"Sin clasificar")</f>
        <v>South America</v>
      </c>
      <c r="D359" s="5" t="n">
        <v>7359</v>
      </c>
      <c r="E359" s="6" t="n">
        <v>1542</v>
      </c>
      <c r="F359" s="6" t="n">
        <v>3600</v>
      </c>
      <c r="G359" s="5" t="n">
        <v>40377929295.65</v>
      </c>
      <c r="H359" s="4" t="n">
        <f aca="false">IFERROR(IF(AND(VLOOKUP($B359,Ref_Acuerdos!$A:$E,2,FALSE())="FTA",$A359&gt;=VLOOKUP($B359,Ref_Acuerdos!$A:$E,3,FALSE())),1,0),0)</f>
        <v>0</v>
      </c>
      <c r="I359" s="4" t="n">
        <f aca="false">IFERROR(IF(AND(VLOOKUP($B359,Ref_Acuerdos!$A:$E,2,FALSE())="PTA",$A359&gt;=VLOOKUP($B359,Ref_Acuerdos!$A:$E,3,FALSE())),1,0),0)</f>
        <v>1</v>
      </c>
      <c r="J359" s="7" t="n">
        <f aca="false">IFERROR(IF($A359&gt;=VLOOKUP($B359,Ref_Acuerdos!$A:$E,3,FALSE()),VLOOKUP($B359,Ref_Acuerdos!$A:$E,4,FALSE()),""),"")</f>
        <v>5</v>
      </c>
      <c r="K359" s="4" t="str">
        <f aca="false">IFERROR(IF($A359&gt;=VLOOKUP($B359,Ref_Acuerdos!$A:$E,3,FALSE()),VLOOKUP($B359,Ref_Acuerdos!$A:$E,5,FALSE()),"Sin FTA/PTA vigente ese año - arancel NMF"),"Sin FTA/PTA identificado - arancel NMF")</f>
        <v>Ecuador-Mercosur ACE 59 - preferencias parciales (tarifa referencial)</v>
      </c>
    </row>
    <row r="360" customFormat="false" ht="15" hidden="false" customHeight="false" outlineLevel="0" collapsed="false">
      <c r="A360" s="2" t="n">
        <v>2014</v>
      </c>
      <c r="B360" s="2" t="s">
        <v>6</v>
      </c>
      <c r="C360" s="4" t="str">
        <f aca="false">IFERROR(VLOOKUP($B360,Ref_Continente!$A:$B,2,FALSE()),"Sin clasificar")</f>
        <v>South America</v>
      </c>
      <c r="D360" s="5" t="n">
        <v>7239</v>
      </c>
      <c r="E360" s="6" t="n">
        <v>203</v>
      </c>
      <c r="F360" s="6" t="n">
        <v>4320</v>
      </c>
      <c r="G360" s="5" t="n">
        <v>526319673731.64</v>
      </c>
      <c r="H360" s="4" t="n">
        <f aca="false">IFERROR(IF(AND(VLOOKUP($B360,Ref_Acuerdos!$A:$E,2,FALSE())="FTA",$A360&gt;=VLOOKUP($B360,Ref_Acuerdos!$A:$E,3,FALSE())),1,0),0)</f>
        <v>0</v>
      </c>
      <c r="I360" s="4" t="n">
        <f aca="false">IFERROR(IF(AND(VLOOKUP($B360,Ref_Acuerdos!$A:$E,2,FALSE())="PTA",$A360&gt;=VLOOKUP($B360,Ref_Acuerdos!$A:$E,3,FALSE())),1,0),0)</f>
        <v>1</v>
      </c>
      <c r="J360" s="7" t="n">
        <f aca="false">IFERROR(IF($A360&gt;=VLOOKUP($B360,Ref_Acuerdos!$A:$E,3,FALSE()),VLOOKUP($B360,Ref_Acuerdos!$A:$E,4,FALSE()),""),"")</f>
        <v>5</v>
      </c>
      <c r="K360" s="4" t="str">
        <f aca="false">IFERROR(IF($A360&gt;=VLOOKUP($B360,Ref_Acuerdos!$A:$E,3,FALSE()),VLOOKUP($B360,Ref_Acuerdos!$A:$E,5,FALSE()),"Sin FTA/PTA vigente ese año - arancel NMF"),"Sin FTA/PTA identificado - arancel NMF")</f>
        <v>Ecuador-Mercosur ACE 59 - preferencias parciales (tarifa referencial)</v>
      </c>
    </row>
    <row r="361" customFormat="false" ht="15" hidden="false" customHeight="false" outlineLevel="0" collapsed="false">
      <c r="A361" s="2" t="n">
        <v>2014</v>
      </c>
      <c r="B361" s="2" t="s">
        <v>71</v>
      </c>
      <c r="C361" s="4" t="str">
        <f aca="false">IFERROR(VLOOKUP($B361,Ref_Continente!$A:$B,2,FALSE()),"Sin clasificar")</f>
        <v>Asia</v>
      </c>
      <c r="D361" s="5" t="n">
        <v>6640</v>
      </c>
      <c r="E361" s="6" t="n">
        <v>1147</v>
      </c>
      <c r="F361" s="6" t="n">
        <v>17100</v>
      </c>
      <c r="G361" s="5" t="n">
        <v>3697353039.2</v>
      </c>
      <c r="H361" s="4" t="n">
        <f aca="false">IFERROR(IF(AND(VLOOKUP($B361,Ref_Acuerdos!$A:$E,2,FALSE())="FTA",$A361&gt;=VLOOKUP($B361,Ref_Acuerdos!$A:$E,3,FALSE())),1,0),0)</f>
        <v>0</v>
      </c>
      <c r="I361" s="4" t="n">
        <f aca="false">IFERROR(IF(AND(VLOOKUP($B361,Ref_Acuerdos!$A:$E,2,FALSE())="PTA",$A361&gt;=VLOOKUP($B361,Ref_Acuerdos!$A:$E,3,FALSE())),1,0),0)</f>
        <v>0</v>
      </c>
      <c r="J361" s="7" t="str">
        <f aca="false">IFERROR(IF($A361&gt;=VLOOKUP($B361,Ref_Acuerdos!$A:$E,3,FALSE()),VLOOKUP($B361,Ref_Acuerdos!$A:$E,4,FALSE()),""),"")</f>
        <v/>
      </c>
      <c r="K361" s="4" t="str">
        <f aca="false">IFERROR(IF($A361&gt;=VLOOKUP($B361,Ref_Acuerdos!$A:$E,3,FALSE()),VLOOKUP($B361,Ref_Acuerdos!$A:$E,5,FALSE()),"Sin FTA/PTA vigente ese año - arancel NMF"),"Sin FTA/PTA identificado - arancel NMF")</f>
        <v>Sin FTA/PTA identificado - arancel NMF</v>
      </c>
    </row>
    <row r="362" customFormat="false" ht="15" hidden="false" customHeight="false" outlineLevel="0" collapsed="false">
      <c r="A362" s="2" t="n">
        <v>2014</v>
      </c>
      <c r="B362" s="2" t="s">
        <v>120</v>
      </c>
      <c r="C362" s="4" t="str">
        <f aca="false">IFERROR(VLOOKUP($B362,Ref_Continente!$A:$B,2,FALSE()),"Sin clasificar")</f>
        <v>Asia</v>
      </c>
      <c r="D362" s="5" t="n">
        <v>6504</v>
      </c>
      <c r="E362" s="6" t="n">
        <v>1307</v>
      </c>
      <c r="F362" s="6" t="n">
        <v>17600</v>
      </c>
      <c r="G362" s="5" t="n">
        <v>233451469642.52</v>
      </c>
      <c r="H362" s="4" t="n">
        <f aca="false">IFERROR(IF(AND(VLOOKUP($B362,Ref_Acuerdos!$A:$E,2,FALSE())="FTA",$A362&gt;=VLOOKUP($B362,Ref_Acuerdos!$A:$E,3,FALSE())),1,0),0)</f>
        <v>0</v>
      </c>
      <c r="I362" s="4" t="n">
        <f aca="false">IFERROR(IF(AND(VLOOKUP($B362,Ref_Acuerdos!$A:$E,2,FALSE())="PTA",$A362&gt;=VLOOKUP($B362,Ref_Acuerdos!$A:$E,3,FALSE())),1,0),0)</f>
        <v>0</v>
      </c>
      <c r="J362" s="7" t="str">
        <f aca="false">IFERROR(IF($A362&gt;=VLOOKUP($B362,Ref_Acuerdos!$A:$E,3,FALSE()),VLOOKUP($B362,Ref_Acuerdos!$A:$E,4,FALSE()),""),"")</f>
        <v/>
      </c>
      <c r="K362" s="4" t="str">
        <f aca="false">IFERROR(IF($A362&gt;=VLOOKUP($B362,Ref_Acuerdos!$A:$E,3,FALSE()),VLOOKUP($B362,Ref_Acuerdos!$A:$E,5,FALSE()),"Sin FTA/PTA vigente ese año - arancel NMF"),"Sin FTA/PTA identificado - arancel NMF")</f>
        <v>Sin FTA/PTA identificado - arancel NMF</v>
      </c>
    </row>
    <row r="363" customFormat="false" ht="15" hidden="false" customHeight="false" outlineLevel="0" collapsed="false">
      <c r="A363" s="2" t="n">
        <v>2014</v>
      </c>
      <c r="B363" s="2" t="s">
        <v>18</v>
      </c>
      <c r="C363" s="4" t="str">
        <f aca="false">IFERROR(VLOOKUP($B363,Ref_Continente!$A:$B,2,FALSE()),"Sin clasificar")</f>
        <v>Asia</v>
      </c>
      <c r="D363" s="5" t="n">
        <v>6278</v>
      </c>
      <c r="E363" s="6" t="n">
        <v>1791</v>
      </c>
      <c r="F363" s="6" t="n">
        <v>13800</v>
      </c>
      <c r="G363" s="5" t="n">
        <v>34772526595.74</v>
      </c>
      <c r="H363" s="4" t="n">
        <f aca="false">IFERROR(IF(AND(VLOOKUP($B363,Ref_Acuerdos!$A:$E,2,FALSE())="FTA",$A363&gt;=VLOOKUP($B363,Ref_Acuerdos!$A:$E,3,FALSE())),1,0),0)</f>
        <v>0</v>
      </c>
      <c r="I363" s="4" t="n">
        <f aca="false">IFERROR(IF(AND(VLOOKUP($B363,Ref_Acuerdos!$A:$E,2,FALSE())="PTA",$A363&gt;=VLOOKUP($B363,Ref_Acuerdos!$A:$E,3,FALSE())),1,0),0)</f>
        <v>0</v>
      </c>
      <c r="J363" s="7" t="str">
        <f aca="false">IFERROR(IF($A363&gt;=VLOOKUP($B363,Ref_Acuerdos!$A:$E,3,FALSE()),VLOOKUP($B363,Ref_Acuerdos!$A:$E,4,FALSE()),""),"")</f>
        <v/>
      </c>
      <c r="K363" s="4" t="str">
        <f aca="false">IFERROR(IF($A363&gt;=VLOOKUP($B363,Ref_Acuerdos!$A:$E,3,FALSE()),VLOOKUP($B363,Ref_Acuerdos!$A:$E,5,FALSE()),"Sin FTA/PTA vigente ese año - arancel NMF"),"Sin FTA/PTA identificado - arancel NMF")</f>
        <v>Sin FTA/PTA identificado - arancel NMF</v>
      </c>
    </row>
    <row r="364" customFormat="false" ht="15" hidden="false" customHeight="false" outlineLevel="0" collapsed="false">
      <c r="A364" s="2" t="n">
        <v>2014</v>
      </c>
      <c r="B364" s="2" t="s">
        <v>111</v>
      </c>
      <c r="C364" s="4" t="str">
        <f aca="false">IFERROR(VLOOKUP($B364,Ref_Continente!$A:$B,2,FALSE()),"Sin clasificar")</f>
        <v>North America</v>
      </c>
      <c r="D364" s="5" t="n">
        <v>5906</v>
      </c>
      <c r="E364" s="6" t="n">
        <v>950</v>
      </c>
      <c r="F364" s="6" t="n">
        <v>2530</v>
      </c>
      <c r="G364" s="5" t="n">
        <v>29474180005.13</v>
      </c>
      <c r="H364" s="4" t="n">
        <f aca="false">IFERROR(IF(AND(VLOOKUP($B364,Ref_Acuerdos!$A:$E,2,FALSE())="FTA",$A364&gt;=VLOOKUP($B364,Ref_Acuerdos!$A:$E,3,FALSE())),1,0),0)</f>
        <v>0</v>
      </c>
      <c r="I364" s="4" t="n">
        <f aca="false">IFERROR(IF(AND(VLOOKUP($B364,Ref_Acuerdos!$A:$E,2,FALSE())="PTA",$A364&gt;=VLOOKUP($B364,Ref_Acuerdos!$A:$E,3,FALSE())),1,0),0)</f>
        <v>0</v>
      </c>
      <c r="J364" s="7" t="str">
        <f aca="false">IFERROR(IF($A364&gt;=VLOOKUP($B364,Ref_Acuerdos!$A:$E,3,FALSE()),VLOOKUP($B364,Ref_Acuerdos!$A:$E,4,FALSE()),""),"")</f>
        <v/>
      </c>
      <c r="K364" s="4" t="str">
        <f aca="false">IFERROR(IF($A364&gt;=VLOOKUP($B364,Ref_Acuerdos!$A:$E,3,FALSE()),VLOOKUP($B364,Ref_Acuerdos!$A:$E,5,FALSE()),"Sin FTA/PTA vigente ese año - arancel NMF"),"Sin FTA/PTA identificado - arancel NMF")</f>
        <v>Sin FTA/PTA identificado - arancel NMF</v>
      </c>
    </row>
    <row r="365" customFormat="false" ht="15" hidden="false" customHeight="false" outlineLevel="0" collapsed="false">
      <c r="A365" s="2" t="n">
        <v>2014</v>
      </c>
      <c r="B365" s="2" t="s">
        <v>31</v>
      </c>
      <c r="C365" s="4" t="str">
        <f aca="false">IFERROR(VLOOKUP($B365,Ref_Continente!$A:$B,2,FALSE()),"Sin clasificar")</f>
        <v>Europe</v>
      </c>
      <c r="D365" s="5" t="n">
        <v>5566</v>
      </c>
      <c r="E365" s="6" t="n">
        <v>935</v>
      </c>
      <c r="F365" s="6" t="n">
        <v>10400</v>
      </c>
      <c r="G365" s="5" t="n">
        <v>59606934501</v>
      </c>
      <c r="H365" s="4" t="n">
        <f aca="false">IFERROR(IF(AND(VLOOKUP($B365,Ref_Acuerdos!$A:$E,2,FALSE())="FTA",$A365&gt;=VLOOKUP($B365,Ref_Acuerdos!$A:$E,3,FALSE())),1,0),0)</f>
        <v>0</v>
      </c>
      <c r="I365" s="4" t="n">
        <f aca="false">IFERROR(IF(AND(VLOOKUP($B365,Ref_Acuerdos!$A:$E,2,FALSE())="PTA",$A365&gt;=VLOOKUP($B365,Ref_Acuerdos!$A:$E,3,FALSE())),1,0),0)</f>
        <v>0</v>
      </c>
      <c r="J365" s="7" t="str">
        <f aca="false">IFERROR(IF($A365&gt;=VLOOKUP($B365,Ref_Acuerdos!$A:$E,3,FALSE()),VLOOKUP($B365,Ref_Acuerdos!$A:$E,4,FALSE()),""),"")</f>
        <v/>
      </c>
      <c r="K365" s="4" t="str">
        <f aca="false">IFERROR(IF($A365&gt;=VLOOKUP($B365,Ref_Acuerdos!$A:$E,3,FALSE()),VLOOKUP($B365,Ref_Acuerdos!$A:$E,5,FALSE()),"Sin FTA/PTA vigente ese año - arancel NMF"),"Sin FTA/PTA identificado - arancel NMF")</f>
        <v>Sin FTA/PTA vigente ese año - arancel NMF</v>
      </c>
    </row>
    <row r="366" customFormat="false" ht="15" hidden="false" customHeight="false" outlineLevel="0" collapsed="false">
      <c r="A366" s="2" t="n">
        <v>2014</v>
      </c>
      <c r="B366" s="2" t="s">
        <v>117</v>
      </c>
      <c r="C366" s="4" t="str">
        <f aca="false">IFERROR(VLOOKUP($B366,Ref_Continente!$A:$B,2,FALSE()),"Sin clasificar")</f>
        <v>Europe</v>
      </c>
      <c r="D366" s="5" t="n">
        <v>4607</v>
      </c>
      <c r="E366" s="6" t="n">
        <v>1444</v>
      </c>
      <c r="F366" s="6" t="n">
        <v>9200</v>
      </c>
      <c r="G366" s="5" t="n">
        <v>3085362169410.29</v>
      </c>
      <c r="H366" s="4" t="n">
        <f aca="false">IFERROR(IF(AND(VLOOKUP($B366,Ref_Acuerdos!$A:$E,2,FALSE())="FTA",$A366&gt;=VLOOKUP($B366,Ref_Acuerdos!$A:$E,3,FALSE())),1,0),0)</f>
        <v>0</v>
      </c>
      <c r="I366" s="4" t="n">
        <f aca="false">IFERROR(IF(AND(VLOOKUP($B366,Ref_Acuerdos!$A:$E,2,FALSE())="PTA",$A366&gt;=VLOOKUP($B366,Ref_Acuerdos!$A:$E,3,FALSE())),1,0),0)</f>
        <v>0</v>
      </c>
      <c r="J366" s="7" t="str">
        <f aca="false">IFERROR(IF($A366&gt;=VLOOKUP($B366,Ref_Acuerdos!$A:$E,3,FALSE()),VLOOKUP($B366,Ref_Acuerdos!$A:$E,4,FALSE()),""),"")</f>
        <v/>
      </c>
      <c r="K366" s="4" t="str">
        <f aca="false">IFERROR(IF($A366&gt;=VLOOKUP($B366,Ref_Acuerdos!$A:$E,3,FALSE()),VLOOKUP($B366,Ref_Acuerdos!$A:$E,5,FALSE()),"Sin FTA/PTA vigente ese año - arancel NMF"),"Sin FTA/PTA identificado - arancel NMF")</f>
        <v>Sin FTA/PTA vigente ese año - arancel NMF</v>
      </c>
    </row>
    <row r="367" customFormat="false" ht="15" hidden="false" customHeight="false" outlineLevel="0" collapsed="false">
      <c r="A367" s="2" t="n">
        <v>2014</v>
      </c>
      <c r="B367" s="2" t="s">
        <v>27</v>
      </c>
      <c r="C367" s="4" t="str">
        <f aca="false">IFERROR(VLOOKUP($B367,Ref_Continente!$A:$B,2,FALSE()),"Sin clasificar")</f>
        <v>Asia</v>
      </c>
      <c r="D367" s="5" t="n">
        <v>3920</v>
      </c>
      <c r="E367" s="6" t="n">
        <v>732</v>
      </c>
      <c r="F367" s="6" t="n">
        <v>17000</v>
      </c>
      <c r="G367" s="5" t="n">
        <v>10674533168257.4</v>
      </c>
      <c r="H367" s="4" t="n">
        <f aca="false">IFERROR(IF(AND(VLOOKUP($B367,Ref_Acuerdos!$A:$E,2,FALSE())="FTA",$A367&gt;=VLOOKUP($B367,Ref_Acuerdos!$A:$E,3,FALSE())),1,0),0)</f>
        <v>0</v>
      </c>
      <c r="I367" s="4" t="n">
        <f aca="false">IFERROR(IF(AND(VLOOKUP($B367,Ref_Acuerdos!$A:$E,2,FALSE())="PTA",$A367&gt;=VLOOKUP($B367,Ref_Acuerdos!$A:$E,3,FALSE())),1,0),0)</f>
        <v>0</v>
      </c>
      <c r="J367" s="7" t="str">
        <f aca="false">IFERROR(IF($A367&gt;=VLOOKUP($B367,Ref_Acuerdos!$A:$E,3,FALSE()),VLOOKUP($B367,Ref_Acuerdos!$A:$E,4,FALSE()),""),"")</f>
        <v/>
      </c>
      <c r="K367" s="4" t="str">
        <f aca="false">IFERROR(IF($A367&gt;=VLOOKUP($B367,Ref_Acuerdos!$A:$E,3,FALSE()),VLOOKUP($B367,Ref_Acuerdos!$A:$E,5,FALSE()),"Sin FTA/PTA vigente ese año - arancel NMF"),"Sin FTA/PTA identificado - arancel NMF")</f>
        <v>Sin FTA/PTA vigente ese año - arancel NMF</v>
      </c>
    </row>
    <row r="368" customFormat="false" ht="15" hidden="false" customHeight="false" outlineLevel="0" collapsed="false">
      <c r="A368" s="2" t="n">
        <v>2014</v>
      </c>
      <c r="B368" s="2" t="s">
        <v>83</v>
      </c>
      <c r="C368" s="4" t="str">
        <f aca="false">IFERROR(VLOOKUP($B368,Ref_Continente!$A:$B,2,FALSE()),"Sin clasificar")</f>
        <v>Europe</v>
      </c>
      <c r="D368" s="5" t="n">
        <v>3780</v>
      </c>
      <c r="E368" s="6" t="n">
        <v>586</v>
      </c>
      <c r="F368" s="6" t="n">
        <v>9980</v>
      </c>
      <c r="G368" s="5" t="n">
        <v>501736471832.85</v>
      </c>
      <c r="H368" s="4" t="n">
        <f aca="false">IFERROR(IF(AND(VLOOKUP($B368,Ref_Acuerdos!$A:$E,2,FALSE())="FTA",$A368&gt;=VLOOKUP($B368,Ref_Acuerdos!$A:$E,3,FALSE())),1,0),0)</f>
        <v>0</v>
      </c>
      <c r="I368" s="4" t="n">
        <f aca="false">IFERROR(IF(AND(VLOOKUP($B368,Ref_Acuerdos!$A:$E,2,FALSE())="PTA",$A368&gt;=VLOOKUP($B368,Ref_Acuerdos!$A:$E,3,FALSE())),1,0),0)</f>
        <v>0</v>
      </c>
      <c r="J368" s="7" t="str">
        <f aca="false">IFERROR(IF($A368&gt;=VLOOKUP($B368,Ref_Acuerdos!$A:$E,3,FALSE()),VLOOKUP($B368,Ref_Acuerdos!$A:$E,4,FALSE()),""),"")</f>
        <v/>
      </c>
      <c r="K368" s="4" t="str">
        <f aca="false">IFERROR(IF($A368&gt;=VLOOKUP($B368,Ref_Acuerdos!$A:$E,3,FALSE()),VLOOKUP($B368,Ref_Acuerdos!$A:$E,5,FALSE()),"Sin FTA/PTA vigente ese año - arancel NMF"),"Sin FTA/PTA identificado - arancel NMF")</f>
        <v>Sin FTA/PTA vigente ese año - arancel NMF</v>
      </c>
    </row>
    <row r="369" customFormat="false" ht="15" hidden="false" customHeight="false" outlineLevel="0" collapsed="false">
      <c r="A369" s="2" t="n">
        <v>2014</v>
      </c>
      <c r="B369" s="2" t="s">
        <v>23</v>
      </c>
      <c r="C369" s="4" t="str">
        <f aca="false">IFERROR(VLOOKUP($B369,Ref_Continente!$A:$B,2,FALSE()),"Sin clasificar")</f>
        <v>South America</v>
      </c>
      <c r="D369" s="5" t="n">
        <v>3527</v>
      </c>
      <c r="E369" s="6" t="n">
        <v>915</v>
      </c>
      <c r="F369" s="6" t="n">
        <v>4330</v>
      </c>
      <c r="G369" s="5" t="n">
        <v>2456043766032.38</v>
      </c>
      <c r="H369" s="4" t="n">
        <f aca="false">IFERROR(IF(AND(VLOOKUP($B369,Ref_Acuerdos!$A:$E,2,FALSE())="FTA",$A369&gt;=VLOOKUP($B369,Ref_Acuerdos!$A:$E,3,FALSE())),1,0),0)</f>
        <v>0</v>
      </c>
      <c r="I369" s="4" t="n">
        <f aca="false">IFERROR(IF(AND(VLOOKUP($B369,Ref_Acuerdos!$A:$E,2,FALSE())="PTA",$A369&gt;=VLOOKUP($B369,Ref_Acuerdos!$A:$E,3,FALSE())),1,0),0)</f>
        <v>1</v>
      </c>
      <c r="J369" s="7" t="n">
        <f aca="false">IFERROR(IF($A369&gt;=VLOOKUP($B369,Ref_Acuerdos!$A:$E,3,FALSE()),VLOOKUP($B369,Ref_Acuerdos!$A:$E,4,FALSE()),""),"")</f>
        <v>5</v>
      </c>
      <c r="K369" s="4" t="str">
        <f aca="false">IFERROR(IF($A369&gt;=VLOOKUP($B369,Ref_Acuerdos!$A:$E,3,FALSE()),VLOOKUP($B369,Ref_Acuerdos!$A:$E,5,FALSE()),"Sin FTA/PTA vigente ese año - arancel NMF"),"Sin FTA/PTA identificado - arancel NMF")</f>
        <v>Ecuador-Mercosur ACE 59 - preferencias parciales (tarifa referencial)</v>
      </c>
    </row>
    <row r="370" customFormat="false" ht="15" hidden="false" customHeight="false" outlineLevel="0" collapsed="false">
      <c r="A370" s="2" t="n">
        <v>2014</v>
      </c>
      <c r="B370" s="2" t="s">
        <v>112</v>
      </c>
      <c r="C370" s="4" t="str">
        <f aca="false">IFERROR(VLOOKUP($B370,Ref_Continente!$A:$B,2,FALSE()),"Sin clasificar")</f>
        <v>Asia</v>
      </c>
      <c r="D370" s="5" t="n">
        <v>3421</v>
      </c>
      <c r="E370" s="6" t="n">
        <v>448</v>
      </c>
      <c r="F370" s="6" t="n">
        <v>13800</v>
      </c>
      <c r="G370" s="5" t="n">
        <v>43524210526.32</v>
      </c>
      <c r="H370" s="4" t="n">
        <f aca="false">IFERROR(IF(AND(VLOOKUP($B370,Ref_Acuerdos!$A:$E,2,FALSE())="FTA",$A370&gt;=VLOOKUP($B370,Ref_Acuerdos!$A:$E,3,FALSE())),1,0),0)</f>
        <v>0</v>
      </c>
      <c r="I370" s="4" t="n">
        <f aca="false">IFERROR(IF(AND(VLOOKUP($B370,Ref_Acuerdos!$A:$E,2,FALSE())="PTA",$A370&gt;=VLOOKUP($B370,Ref_Acuerdos!$A:$E,3,FALSE())),1,0),0)</f>
        <v>0</v>
      </c>
      <c r="J370" s="7" t="str">
        <f aca="false">IFERROR(IF($A370&gt;=VLOOKUP($B370,Ref_Acuerdos!$A:$E,3,FALSE()),VLOOKUP($B370,Ref_Acuerdos!$A:$E,4,FALSE()),""),"")</f>
        <v/>
      </c>
      <c r="K370" s="4" t="str">
        <f aca="false">IFERROR(IF($A370&gt;=VLOOKUP($B370,Ref_Acuerdos!$A:$E,3,FALSE()),VLOOKUP($B370,Ref_Acuerdos!$A:$E,5,FALSE()),"Sin FTA/PTA vigente ese año - arancel NMF"),"Sin FTA/PTA identificado - arancel NMF")</f>
        <v>Sin FTA/PTA identificado - arancel NMF</v>
      </c>
    </row>
    <row r="371" customFormat="false" ht="15" hidden="false" customHeight="false" outlineLevel="0" collapsed="false">
      <c r="A371" s="2" t="n">
        <v>2014</v>
      </c>
      <c r="B371" s="2" t="s">
        <v>24</v>
      </c>
      <c r="C371" s="4" t="str">
        <f aca="false">IFERROR(VLOOKUP($B371,Ref_Continente!$A:$B,2,FALSE()),"Sin clasificar")</f>
        <v>Europe</v>
      </c>
      <c r="D371" s="5" t="n">
        <v>2730</v>
      </c>
      <c r="E371" s="6" t="n">
        <v>131</v>
      </c>
      <c r="F371" s="6" t="n">
        <v>10870</v>
      </c>
      <c r="G371" s="5" t="n">
        <v>57080897012.11</v>
      </c>
      <c r="H371" s="4" t="n">
        <f aca="false">IFERROR(IF(AND(VLOOKUP($B371,Ref_Acuerdos!$A:$E,2,FALSE())="FTA",$A371&gt;=VLOOKUP($B371,Ref_Acuerdos!$A:$E,3,FALSE())),1,0),0)</f>
        <v>0</v>
      </c>
      <c r="I371" s="4" t="n">
        <f aca="false">IFERROR(IF(AND(VLOOKUP($B371,Ref_Acuerdos!$A:$E,2,FALSE())="PTA",$A371&gt;=VLOOKUP($B371,Ref_Acuerdos!$A:$E,3,FALSE())),1,0),0)</f>
        <v>0</v>
      </c>
      <c r="J371" s="7" t="str">
        <f aca="false">IFERROR(IF($A371&gt;=VLOOKUP($B371,Ref_Acuerdos!$A:$E,3,FALSE()),VLOOKUP($B371,Ref_Acuerdos!$A:$E,4,FALSE()),""),"")</f>
        <v/>
      </c>
      <c r="K371" s="4" t="str">
        <f aca="false">IFERROR(IF($A371&gt;=VLOOKUP($B371,Ref_Acuerdos!$A:$E,3,FALSE()),VLOOKUP($B371,Ref_Acuerdos!$A:$E,5,FALSE()),"Sin FTA/PTA vigente ese año - arancel NMF"),"Sin FTA/PTA identificado - arancel NMF")</f>
        <v>Sin FTA/PTA vigente ese año - arancel NMF</v>
      </c>
    </row>
    <row r="372" customFormat="false" ht="15" hidden="false" customHeight="false" outlineLevel="0" collapsed="false">
      <c r="A372" s="2" t="n">
        <v>2014</v>
      </c>
      <c r="B372" s="2" t="s">
        <v>28</v>
      </c>
      <c r="C372" s="4" t="str">
        <f aca="false">IFERROR(VLOOKUP($B372,Ref_Continente!$A:$B,2,FALSE()),"Sin clasificar")</f>
        <v>Asia</v>
      </c>
      <c r="D372" s="5" t="n">
        <v>2130</v>
      </c>
      <c r="E372" s="6" t="n">
        <v>288</v>
      </c>
      <c r="F372" s="6" t="n">
        <v>17700</v>
      </c>
      <c r="G372" s="5" t="n">
        <v>291459995978.89</v>
      </c>
      <c r="H372" s="4" t="n">
        <f aca="false">IFERROR(IF(AND(VLOOKUP($B372,Ref_Acuerdos!$A:$E,2,FALSE())="FTA",$A372&gt;=VLOOKUP($B372,Ref_Acuerdos!$A:$E,3,FALSE())),1,0),0)</f>
        <v>0</v>
      </c>
      <c r="I372" s="4" t="n">
        <f aca="false">IFERROR(IF(AND(VLOOKUP($B372,Ref_Acuerdos!$A:$E,2,FALSE())="PTA",$A372&gt;=VLOOKUP($B372,Ref_Acuerdos!$A:$E,3,FALSE())),1,0),0)</f>
        <v>0</v>
      </c>
      <c r="J372" s="7" t="str">
        <f aca="false">IFERROR(IF($A372&gt;=VLOOKUP($B372,Ref_Acuerdos!$A:$E,3,FALSE()),VLOOKUP($B372,Ref_Acuerdos!$A:$E,4,FALSE()),""),"")</f>
        <v/>
      </c>
      <c r="K372" s="4" t="str">
        <f aca="false">IFERROR(IF($A372&gt;=VLOOKUP($B372,Ref_Acuerdos!$A:$E,3,FALSE()),VLOOKUP($B372,Ref_Acuerdos!$A:$E,5,FALSE()),"Sin FTA/PTA vigente ese año - arancel NMF"),"Sin FTA/PTA identificado - arancel NMF")</f>
        <v>Sin FTA/PTA identificado - arancel NMF</v>
      </c>
    </row>
    <row r="373" customFormat="false" ht="15" hidden="false" customHeight="false" outlineLevel="0" collapsed="false">
      <c r="A373" s="2" t="n">
        <v>2014</v>
      </c>
      <c r="B373" s="2" t="s">
        <v>85</v>
      </c>
      <c r="C373" s="4" t="str">
        <f aca="false">IFERROR(VLOOKUP($B373,Ref_Continente!$A:$B,2,FALSE()),"Sin clasificar")</f>
        <v>Asia</v>
      </c>
      <c r="D373" s="5" t="n">
        <v>1803</v>
      </c>
      <c r="E373" s="6" t="n">
        <v>300</v>
      </c>
      <c r="F373" s="6" t="n">
        <v>0</v>
      </c>
      <c r="G373" s="5"/>
      <c r="H373" s="4" t="n">
        <f aca="false">IFERROR(IF(AND(VLOOKUP($B373,Ref_Acuerdos!$A:$E,2,FALSE())="FTA",$A373&gt;=VLOOKUP($B373,Ref_Acuerdos!$A:$E,3,FALSE())),1,0),0)</f>
        <v>0</v>
      </c>
      <c r="I373" s="4" t="n">
        <f aca="false">IFERROR(IF(AND(VLOOKUP($B373,Ref_Acuerdos!$A:$E,2,FALSE())="PTA",$A373&gt;=VLOOKUP($B373,Ref_Acuerdos!$A:$E,3,FALSE())),1,0),0)</f>
        <v>0</v>
      </c>
      <c r="J373" s="7" t="str">
        <f aca="false">IFERROR(IF($A373&gt;=VLOOKUP($B373,Ref_Acuerdos!$A:$E,3,FALSE()),VLOOKUP($B373,Ref_Acuerdos!$A:$E,4,FALSE()),""),"")</f>
        <v/>
      </c>
      <c r="K373" s="4" t="str">
        <f aca="false">IFERROR(IF($A373&gt;=VLOOKUP($B373,Ref_Acuerdos!$A:$E,3,FALSE()),VLOOKUP($B373,Ref_Acuerdos!$A:$E,5,FALSE()),"Sin FTA/PTA vigente ese año - arancel NMF"),"Sin FTA/PTA identificado - arancel NMF")</f>
        <v>Sin FTA/PTA identificado - arancel NMF</v>
      </c>
    </row>
    <row r="374" customFormat="false" ht="15" hidden="false" customHeight="false" outlineLevel="0" collapsed="false">
      <c r="A374" s="2" t="n">
        <v>2014</v>
      </c>
      <c r="B374" s="2" t="s">
        <v>107</v>
      </c>
      <c r="C374" s="4" t="str">
        <f aca="false">IFERROR(VLOOKUP($B374,Ref_Continente!$A:$B,2,FALSE()),"Sin clasificar")</f>
        <v>Europe</v>
      </c>
      <c r="D374" s="5" t="n">
        <v>1757</v>
      </c>
      <c r="E374" s="6" t="n">
        <v>278</v>
      </c>
      <c r="F374" s="6" t="n">
        <v>10000</v>
      </c>
      <c r="G374" s="5" t="n">
        <v>577727767303.6</v>
      </c>
      <c r="H374" s="4" t="n">
        <f aca="false">IFERROR(IF(AND(VLOOKUP($B374,Ref_Acuerdos!$A:$E,2,FALSE())="FTA",$A374&gt;=VLOOKUP($B374,Ref_Acuerdos!$A:$E,3,FALSE())),1,0),0)</f>
        <v>0</v>
      </c>
      <c r="I374" s="4" t="n">
        <f aca="false">IFERROR(IF(AND(VLOOKUP($B374,Ref_Acuerdos!$A:$E,2,FALSE())="PTA",$A374&gt;=VLOOKUP($B374,Ref_Acuerdos!$A:$E,3,FALSE())),1,0),0)</f>
        <v>0</v>
      </c>
      <c r="J374" s="7" t="str">
        <f aca="false">IFERROR(IF($A374&gt;=VLOOKUP($B374,Ref_Acuerdos!$A:$E,3,FALSE()),VLOOKUP($B374,Ref_Acuerdos!$A:$E,4,FALSE()),""),"")</f>
        <v/>
      </c>
      <c r="K374" s="4" t="str">
        <f aca="false">IFERROR(IF($A374&gt;=VLOOKUP($B374,Ref_Acuerdos!$A:$E,3,FALSE()),VLOOKUP($B374,Ref_Acuerdos!$A:$E,5,FALSE()),"Sin FTA/PTA vigente ese año - arancel NMF"),"Sin FTA/PTA identificado - arancel NMF")</f>
        <v>Sin FTA/PTA vigente ese año - arancel NMF</v>
      </c>
    </row>
    <row r="375" customFormat="false" ht="15" hidden="false" customHeight="false" outlineLevel="0" collapsed="false">
      <c r="A375" s="2" t="n">
        <v>2014</v>
      </c>
      <c r="B375" s="2" t="s">
        <v>100</v>
      </c>
      <c r="C375" s="4" t="str">
        <f aca="false">IFERROR(VLOOKUP($B375,Ref_Continente!$A:$B,2,FALSE()),"Sin clasificar")</f>
        <v>Asia</v>
      </c>
      <c r="D375" s="5" t="n">
        <v>1605</v>
      </c>
      <c r="E375" s="6" t="n">
        <v>403</v>
      </c>
      <c r="F375" s="6" t="n">
        <v>13800</v>
      </c>
      <c r="G375" s="5" t="n">
        <v>787153066666.67</v>
      </c>
      <c r="H375" s="4" t="n">
        <f aca="false">IFERROR(IF(AND(VLOOKUP($B375,Ref_Acuerdos!$A:$E,2,FALSE())="FTA",$A375&gt;=VLOOKUP($B375,Ref_Acuerdos!$A:$E,3,FALSE())),1,0),0)</f>
        <v>0</v>
      </c>
      <c r="I375" s="4" t="n">
        <f aca="false">IFERROR(IF(AND(VLOOKUP($B375,Ref_Acuerdos!$A:$E,2,FALSE())="PTA",$A375&gt;=VLOOKUP($B375,Ref_Acuerdos!$A:$E,3,FALSE())),1,0),0)</f>
        <v>0</v>
      </c>
      <c r="J375" s="7" t="str">
        <f aca="false">IFERROR(IF($A375&gt;=VLOOKUP($B375,Ref_Acuerdos!$A:$E,3,FALSE()),VLOOKUP($B375,Ref_Acuerdos!$A:$E,4,FALSE()),""),"")</f>
        <v/>
      </c>
      <c r="K375" s="4" t="str">
        <f aca="false">IFERROR(IF($A375&gt;=VLOOKUP($B375,Ref_Acuerdos!$A:$E,3,FALSE()),VLOOKUP($B375,Ref_Acuerdos!$A:$E,5,FALSE()),"Sin FTA/PTA vigente ese año - arancel NMF"),"Sin FTA/PTA identificado - arancel NMF")</f>
        <v>Sin FTA/PTA identificado - arancel NMF</v>
      </c>
    </row>
    <row r="376" customFormat="false" ht="15" hidden="false" customHeight="false" outlineLevel="0" collapsed="false">
      <c r="A376" s="2" t="n">
        <v>2014</v>
      </c>
      <c r="B376" s="2" t="s">
        <v>102</v>
      </c>
      <c r="C376" s="4" t="str">
        <f aca="false">IFERROR(VLOOKUP($B376,Ref_Continente!$A:$B,2,FALSE()),"Sin clasificar")</f>
        <v>Asia</v>
      </c>
      <c r="D376" s="5" t="n">
        <v>1474</v>
      </c>
      <c r="E376" s="6" t="n">
        <v>372</v>
      </c>
      <c r="F376" s="6" t="n">
        <v>18800</v>
      </c>
      <c r="G376" s="5" t="n">
        <v>314863580758.46</v>
      </c>
      <c r="H376" s="4" t="n">
        <f aca="false">IFERROR(IF(AND(VLOOKUP($B376,Ref_Acuerdos!$A:$E,2,FALSE())="FTA",$A376&gt;=VLOOKUP($B376,Ref_Acuerdos!$A:$E,3,FALSE())),1,0),0)</f>
        <v>0</v>
      </c>
      <c r="I376" s="4" t="n">
        <f aca="false">IFERROR(IF(AND(VLOOKUP($B376,Ref_Acuerdos!$A:$E,2,FALSE())="PTA",$A376&gt;=VLOOKUP($B376,Ref_Acuerdos!$A:$E,3,FALSE())),1,0),0)</f>
        <v>0</v>
      </c>
      <c r="J376" s="7" t="str">
        <f aca="false">IFERROR(IF($A376&gt;=VLOOKUP($B376,Ref_Acuerdos!$A:$E,3,FALSE()),VLOOKUP($B376,Ref_Acuerdos!$A:$E,4,FALSE()),""),"")</f>
        <v/>
      </c>
      <c r="K376" s="4" t="str">
        <f aca="false">IFERROR(IF($A376&gt;=VLOOKUP($B376,Ref_Acuerdos!$A:$E,3,FALSE()),VLOOKUP($B376,Ref_Acuerdos!$A:$E,5,FALSE()),"Sin FTA/PTA vigente ese año - arancel NMF"),"Sin FTA/PTA identificado - arancel NMF")</f>
        <v>Sin FTA/PTA identificado - arancel NMF</v>
      </c>
    </row>
    <row r="377" customFormat="false" ht="15" hidden="false" customHeight="false" outlineLevel="0" collapsed="false">
      <c r="A377" s="2" t="n">
        <v>2014</v>
      </c>
      <c r="B377" s="2" t="s">
        <v>60</v>
      </c>
      <c r="C377" s="4" t="str">
        <f aca="false">IFERROR(VLOOKUP($B377,Ref_Continente!$A:$B,2,FALSE()),"Sin clasificar")</f>
        <v>North America</v>
      </c>
      <c r="D377" s="5" t="n">
        <v>1257</v>
      </c>
      <c r="E377" s="6" t="n">
        <v>307</v>
      </c>
      <c r="F377" s="6" t="n">
        <v>1900</v>
      </c>
      <c r="G377" s="5" t="n">
        <v>13899217679.92</v>
      </c>
      <c r="H377" s="4" t="n">
        <f aca="false">IFERROR(IF(AND(VLOOKUP($B377,Ref_Acuerdos!$A:$E,2,FALSE())="FTA",$A377&gt;=VLOOKUP($B377,Ref_Acuerdos!$A:$E,3,FALSE())),1,0),0)</f>
        <v>0</v>
      </c>
      <c r="I377" s="4" t="n">
        <f aca="false">IFERROR(IF(AND(VLOOKUP($B377,Ref_Acuerdos!$A:$E,2,FALSE())="PTA",$A377&gt;=VLOOKUP($B377,Ref_Acuerdos!$A:$E,3,FALSE())),1,0),0)</f>
        <v>0</v>
      </c>
      <c r="J377" s="7" t="str">
        <f aca="false">IFERROR(IF($A377&gt;=VLOOKUP($B377,Ref_Acuerdos!$A:$E,3,FALSE()),VLOOKUP($B377,Ref_Acuerdos!$A:$E,4,FALSE()),""),"")</f>
        <v/>
      </c>
      <c r="K377" s="4" t="str">
        <f aca="false">IFERROR(IF($A377&gt;=VLOOKUP($B377,Ref_Acuerdos!$A:$E,3,FALSE()),VLOOKUP($B377,Ref_Acuerdos!$A:$E,5,FALSE()),"Sin FTA/PTA vigente ese año - arancel NMF"),"Sin FTA/PTA identificado - arancel NMF")</f>
        <v>Sin FTA/PTA identificado - arancel NMF</v>
      </c>
    </row>
    <row r="378" customFormat="false" ht="15" hidden="false" customHeight="false" outlineLevel="0" collapsed="false">
      <c r="A378" s="2" t="n">
        <v>2014</v>
      </c>
      <c r="B378" s="2" t="s">
        <v>44</v>
      </c>
      <c r="C378" s="4" t="str">
        <f aca="false">IFERROR(VLOOKUP($B378,Ref_Continente!$A:$B,2,FALSE()),"Sin clasificar")</f>
        <v>Asia</v>
      </c>
      <c r="D378" s="5" t="n">
        <v>1133</v>
      </c>
      <c r="E378" s="6" t="n">
        <v>411</v>
      </c>
      <c r="F378" s="6" t="n">
        <v>11600</v>
      </c>
      <c r="G378" s="5" t="n">
        <v>17966015109.3</v>
      </c>
      <c r="H378" s="4" t="n">
        <f aca="false">IFERROR(IF(AND(VLOOKUP($B378,Ref_Acuerdos!$A:$E,2,FALSE())="FTA",$A378&gt;=VLOOKUP($B378,Ref_Acuerdos!$A:$E,3,FALSE())),1,0),0)</f>
        <v>0</v>
      </c>
      <c r="I378" s="4" t="n">
        <f aca="false">IFERROR(IF(AND(VLOOKUP($B378,Ref_Acuerdos!$A:$E,2,FALSE())="PTA",$A378&gt;=VLOOKUP($B378,Ref_Acuerdos!$A:$E,3,FALSE())),1,0),0)</f>
        <v>0</v>
      </c>
      <c r="J378" s="7" t="str">
        <f aca="false">IFERROR(IF($A378&gt;=VLOOKUP($B378,Ref_Acuerdos!$A:$E,3,FALSE()),VLOOKUP($B378,Ref_Acuerdos!$A:$E,4,FALSE()),""),"")</f>
        <v/>
      </c>
      <c r="K378" s="4" t="str">
        <f aca="false">IFERROR(IF($A378&gt;=VLOOKUP($B378,Ref_Acuerdos!$A:$E,3,FALSE()),VLOOKUP($B378,Ref_Acuerdos!$A:$E,5,FALSE()),"Sin FTA/PTA vigente ese año - arancel NMF"),"Sin FTA/PTA identificado - arancel NMF")</f>
        <v>Sin FTA/PTA identificado - arancel NMF</v>
      </c>
    </row>
    <row r="379" customFormat="false" ht="15" hidden="false" customHeight="false" outlineLevel="0" collapsed="false">
      <c r="A379" s="2" t="n">
        <v>2014</v>
      </c>
      <c r="B379" s="2" t="s">
        <v>89</v>
      </c>
      <c r="C379" s="4" t="str">
        <f aca="false">IFERROR(VLOOKUP($B379,Ref_Continente!$A:$B,2,FALSE()),"Sin clasificar")</f>
        <v>Asia</v>
      </c>
      <c r="D379" s="5" t="n">
        <v>1078</v>
      </c>
      <c r="E379" s="6" t="n">
        <v>209</v>
      </c>
      <c r="F379" s="6" t="n">
        <v>17800</v>
      </c>
      <c r="G379" s="5" t="n">
        <v>297483555338.04</v>
      </c>
      <c r="H379" s="4" t="n">
        <f aca="false">IFERROR(IF(AND(VLOOKUP($B379,Ref_Acuerdos!$A:$E,2,FALSE())="FTA",$A379&gt;=VLOOKUP($B379,Ref_Acuerdos!$A:$E,3,FALSE())),1,0),0)</f>
        <v>0</v>
      </c>
      <c r="I379" s="4" t="n">
        <f aca="false">IFERROR(IF(AND(VLOOKUP($B379,Ref_Acuerdos!$A:$E,2,FALSE())="PTA",$A379&gt;=VLOOKUP($B379,Ref_Acuerdos!$A:$E,3,FALSE())),1,0),0)</f>
        <v>0</v>
      </c>
      <c r="J379" s="7" t="str">
        <f aca="false">IFERROR(IF($A379&gt;=VLOOKUP($B379,Ref_Acuerdos!$A:$E,3,FALSE()),VLOOKUP($B379,Ref_Acuerdos!$A:$E,4,FALSE()),""),"")</f>
        <v/>
      </c>
      <c r="K379" s="4" t="str">
        <f aca="false">IFERROR(IF($A379&gt;=VLOOKUP($B379,Ref_Acuerdos!$A:$E,3,FALSE()),VLOOKUP($B379,Ref_Acuerdos!$A:$E,5,FALSE()),"Sin FTA/PTA vigente ese año - arancel NMF"),"Sin FTA/PTA identificado - arancel NMF")</f>
        <v>Sin FTA/PTA identificado - arancel NMF</v>
      </c>
    </row>
    <row r="380" customFormat="false" ht="15" hidden="false" customHeight="false" outlineLevel="0" collapsed="false">
      <c r="A380" s="2" t="n">
        <v>2014</v>
      </c>
      <c r="B380" s="2" t="s">
        <v>67</v>
      </c>
      <c r="C380" s="4" t="str">
        <f aca="false">IFERROR(VLOOKUP($B380,Ref_Continente!$A:$B,2,FALSE()),"Sin clasificar")</f>
        <v>Asia</v>
      </c>
      <c r="D380" s="5" t="n">
        <v>1033</v>
      </c>
      <c r="E380" s="6" t="n">
        <v>167</v>
      </c>
      <c r="F380" s="6" t="n">
        <v>11800</v>
      </c>
      <c r="G380" s="5" t="n">
        <v>48095213746.6</v>
      </c>
      <c r="H380" s="4" t="n">
        <f aca="false">IFERROR(IF(AND(VLOOKUP($B380,Ref_Acuerdos!$A:$E,2,FALSE())="FTA",$A380&gt;=VLOOKUP($B380,Ref_Acuerdos!$A:$E,3,FALSE())),1,0),0)</f>
        <v>0</v>
      </c>
      <c r="I380" s="4" t="n">
        <f aca="false">IFERROR(IF(AND(VLOOKUP($B380,Ref_Acuerdos!$A:$E,2,FALSE())="PTA",$A380&gt;=VLOOKUP($B380,Ref_Acuerdos!$A:$E,3,FALSE())),1,0),0)</f>
        <v>0</v>
      </c>
      <c r="J380" s="7" t="str">
        <f aca="false">IFERROR(IF($A380&gt;=VLOOKUP($B380,Ref_Acuerdos!$A:$E,3,FALSE()),VLOOKUP($B380,Ref_Acuerdos!$A:$E,4,FALSE()),""),"")</f>
        <v/>
      </c>
      <c r="K380" s="4" t="str">
        <f aca="false">IFERROR(IF($A380&gt;=VLOOKUP($B380,Ref_Acuerdos!$A:$E,3,FALSE()),VLOOKUP($B380,Ref_Acuerdos!$A:$E,5,FALSE()),"Sin FTA/PTA vigente ese año - arancel NMF"),"Sin FTA/PTA identificado - arancel NMF")</f>
        <v>Sin FTA/PTA identificado - arancel NMF</v>
      </c>
    </row>
    <row r="381" customFormat="false" ht="15" hidden="false" customHeight="false" outlineLevel="0" collapsed="false">
      <c r="A381" s="2" t="n">
        <v>2014</v>
      </c>
      <c r="B381" s="2" t="s">
        <v>82</v>
      </c>
      <c r="C381" s="4" t="str">
        <f aca="false">IFERROR(VLOOKUP($B381,Ref_Continente!$A:$B,2,FALSE()),"Sin clasificar")</f>
        <v>Europe</v>
      </c>
      <c r="D381" s="5" t="n">
        <v>1018</v>
      </c>
      <c r="E381" s="6" t="n">
        <v>153</v>
      </c>
      <c r="F381" s="6" t="n">
        <v>11170</v>
      </c>
      <c r="G381" s="5" t="n">
        <v>11362265252.78</v>
      </c>
      <c r="H381" s="4" t="n">
        <f aca="false">IFERROR(IF(AND(VLOOKUP($B381,Ref_Acuerdos!$A:$E,2,FALSE())="FTA",$A381&gt;=VLOOKUP($B381,Ref_Acuerdos!$A:$E,3,FALSE())),1,0),0)</f>
        <v>0</v>
      </c>
      <c r="I381" s="4" t="n">
        <f aca="false">IFERROR(IF(AND(VLOOKUP($B381,Ref_Acuerdos!$A:$E,2,FALSE())="PTA",$A381&gt;=VLOOKUP($B381,Ref_Acuerdos!$A:$E,3,FALSE())),1,0),0)</f>
        <v>0</v>
      </c>
      <c r="J381" s="7" t="str">
        <f aca="false">IFERROR(IF($A381&gt;=VLOOKUP($B381,Ref_Acuerdos!$A:$E,3,FALSE()),VLOOKUP($B381,Ref_Acuerdos!$A:$E,4,FALSE()),""),"")</f>
        <v/>
      </c>
      <c r="K381" s="4" t="str">
        <f aca="false">IFERROR(IF($A381&gt;=VLOOKUP($B381,Ref_Acuerdos!$A:$E,3,FALSE()),VLOOKUP($B381,Ref_Acuerdos!$A:$E,5,FALSE()),"Sin FTA/PTA vigente ese año - arancel NMF"),"Sin FTA/PTA identificado - arancel NMF")</f>
        <v>Sin FTA/PTA identificado - arancel NMF</v>
      </c>
    </row>
    <row r="382" customFormat="false" ht="15" hidden="false" customHeight="false" outlineLevel="0" collapsed="false">
      <c r="A382" s="2" t="n">
        <v>2014</v>
      </c>
      <c r="B382" s="2" t="s">
        <v>103</v>
      </c>
      <c r="C382" s="4" t="str">
        <f aca="false">IFERROR(VLOOKUP($B382,Ref_Continente!$A:$B,2,FALSE()),"Sin clasificar")</f>
        <v>Europe</v>
      </c>
      <c r="D382" s="5" t="n">
        <v>850</v>
      </c>
      <c r="E382" s="6" t="n">
        <v>119</v>
      </c>
      <c r="F382" s="6" t="n">
        <v>10500</v>
      </c>
      <c r="G382" s="5"/>
      <c r="H382" s="4" t="n">
        <f aca="false">IFERROR(IF(AND(VLOOKUP($B382,Ref_Acuerdos!$A:$E,2,FALSE())="FTA",$A382&gt;=VLOOKUP($B382,Ref_Acuerdos!$A:$E,3,FALSE())),1,0),0)</f>
        <v>0</v>
      </c>
      <c r="I382" s="4" t="n">
        <f aca="false">IFERROR(IF(AND(VLOOKUP($B382,Ref_Acuerdos!$A:$E,2,FALSE())="PTA",$A382&gt;=VLOOKUP($B382,Ref_Acuerdos!$A:$E,3,FALSE())),1,0),0)</f>
        <v>0</v>
      </c>
      <c r="J382" s="7" t="str">
        <f aca="false">IFERROR(IF($A382&gt;=VLOOKUP($B382,Ref_Acuerdos!$A:$E,3,FALSE()),VLOOKUP($B382,Ref_Acuerdos!$A:$E,4,FALSE()),""),"")</f>
        <v/>
      </c>
      <c r="K382" s="4" t="str">
        <f aca="false">IFERROR(IF($A382&gt;=VLOOKUP($B382,Ref_Acuerdos!$A:$E,3,FALSE()),VLOOKUP($B382,Ref_Acuerdos!$A:$E,5,FALSE()),"Sin FTA/PTA vigente ese año - arancel NMF"),"Sin FTA/PTA identificado - arancel NMF")</f>
        <v>Sin FTA/PTA vigente ese año - arancel NMF</v>
      </c>
    </row>
    <row r="383" customFormat="false" ht="15" hidden="false" customHeight="false" outlineLevel="0" collapsed="false">
      <c r="A383" s="2" t="n">
        <v>2014</v>
      </c>
      <c r="B383" s="2" t="s">
        <v>39</v>
      </c>
      <c r="C383" s="4" t="str">
        <f aca="false">IFERROR(VLOOKUP($B383,Ref_Continente!$A:$B,2,FALSE()),"Sin clasificar")</f>
        <v>North America</v>
      </c>
      <c r="D383" s="5" t="n">
        <v>718</v>
      </c>
      <c r="E383" s="6" t="n">
        <v>109</v>
      </c>
      <c r="F383" s="6" t="n">
        <v>2000</v>
      </c>
      <c r="G383" s="5" t="n">
        <v>22593470000</v>
      </c>
      <c r="H383" s="4" t="n">
        <f aca="false">IFERROR(IF(AND(VLOOKUP($B383,Ref_Acuerdos!$A:$E,2,FALSE())="FTA",$A383&gt;=VLOOKUP($B383,Ref_Acuerdos!$A:$E,3,FALSE())),1,0),0)</f>
        <v>0</v>
      </c>
      <c r="I383" s="4" t="n">
        <f aca="false">IFERROR(IF(AND(VLOOKUP($B383,Ref_Acuerdos!$A:$E,2,FALSE())="PTA",$A383&gt;=VLOOKUP($B383,Ref_Acuerdos!$A:$E,3,FALSE())),1,0),0)</f>
        <v>0</v>
      </c>
      <c r="J383" s="7" t="str">
        <f aca="false">IFERROR(IF($A383&gt;=VLOOKUP($B383,Ref_Acuerdos!$A:$E,3,FALSE()),VLOOKUP($B383,Ref_Acuerdos!$A:$E,4,FALSE()),""),"")</f>
        <v/>
      </c>
      <c r="K383" s="4" t="str">
        <f aca="false">IFERROR(IF($A383&gt;=VLOOKUP($B383,Ref_Acuerdos!$A:$E,3,FALSE()),VLOOKUP($B383,Ref_Acuerdos!$A:$E,5,FALSE()),"Sin FTA/PTA vigente ese año - arancel NMF"),"Sin FTA/PTA identificado - arancel NMF")</f>
        <v>Sin FTA/PTA identificado - arancel NMF</v>
      </c>
    </row>
    <row r="384" customFormat="false" ht="15" hidden="false" customHeight="false" outlineLevel="0" collapsed="false">
      <c r="A384" s="2" t="n">
        <v>2014</v>
      </c>
      <c r="B384" s="2" t="s">
        <v>33</v>
      </c>
      <c r="C384" s="4" t="str">
        <f aca="false">IFERROR(VLOOKUP($B384,Ref_Continente!$A:$B,2,FALSE()),"Sin clasificar")</f>
        <v>North America</v>
      </c>
      <c r="D384" s="5" t="n">
        <v>625</v>
      </c>
      <c r="E384" s="6" t="n">
        <v>108</v>
      </c>
      <c r="F384" s="6" t="n">
        <v>2100</v>
      </c>
      <c r="G384" s="5"/>
      <c r="H384" s="4" t="n">
        <f aca="false">IFERROR(IF(AND(VLOOKUP($B384,Ref_Acuerdos!$A:$E,2,FALSE())="FTA",$A384&gt;=VLOOKUP($B384,Ref_Acuerdos!$A:$E,3,FALSE())),1,0),0)</f>
        <v>0</v>
      </c>
      <c r="I384" s="4" t="n">
        <f aca="false">IFERROR(IF(AND(VLOOKUP($B384,Ref_Acuerdos!$A:$E,2,FALSE())="PTA",$A384&gt;=VLOOKUP($B384,Ref_Acuerdos!$A:$E,3,FALSE())),1,0),0)</f>
        <v>0</v>
      </c>
      <c r="J384" s="7" t="str">
        <f aca="false">IFERROR(IF($A384&gt;=VLOOKUP($B384,Ref_Acuerdos!$A:$E,3,FALSE()),VLOOKUP($B384,Ref_Acuerdos!$A:$E,4,FALSE()),""),"")</f>
        <v/>
      </c>
      <c r="K384" s="4" t="str">
        <f aca="false">IFERROR(IF($A384&gt;=VLOOKUP($B384,Ref_Acuerdos!$A:$E,3,FALSE()),VLOOKUP($B384,Ref_Acuerdos!$A:$E,5,FALSE()),"Sin FTA/PTA vigente ese año - arancel NMF"),"Sin FTA/PTA identificado - arancel NMF")</f>
        <v>Sin FTA/PTA identificado - arancel NMF</v>
      </c>
    </row>
    <row r="385" customFormat="false" ht="15" hidden="false" customHeight="false" outlineLevel="0" collapsed="false">
      <c r="A385" s="2" t="n">
        <v>2014</v>
      </c>
      <c r="B385" s="2" t="s">
        <v>74</v>
      </c>
      <c r="C385" s="4" t="str">
        <f aca="false">IFERROR(VLOOKUP($B385,Ref_Continente!$A:$B,2,FALSE()),"Sin clasificar")</f>
        <v>Asia</v>
      </c>
      <c r="D385" s="5" t="n">
        <v>563</v>
      </c>
      <c r="E385" s="6" t="n">
        <v>165</v>
      </c>
      <c r="F385" s="6" t="n">
        <v>14400</v>
      </c>
      <c r="G385" s="5" t="n">
        <v>12226514668.06</v>
      </c>
      <c r="H385" s="4" t="n">
        <f aca="false">IFERROR(IF(AND(VLOOKUP($B385,Ref_Acuerdos!$A:$E,2,FALSE())="FTA",$A385&gt;=VLOOKUP($B385,Ref_Acuerdos!$A:$E,3,FALSE())),1,0),0)</f>
        <v>0</v>
      </c>
      <c r="I385" s="4" t="n">
        <f aca="false">IFERROR(IF(AND(VLOOKUP($B385,Ref_Acuerdos!$A:$E,2,FALSE())="PTA",$A385&gt;=VLOOKUP($B385,Ref_Acuerdos!$A:$E,3,FALSE())),1,0),0)</f>
        <v>0</v>
      </c>
      <c r="J385" s="7" t="str">
        <f aca="false">IFERROR(IF($A385&gt;=VLOOKUP($B385,Ref_Acuerdos!$A:$E,3,FALSE()),VLOOKUP($B385,Ref_Acuerdos!$A:$E,4,FALSE()),""),"")</f>
        <v/>
      </c>
      <c r="K385" s="4" t="str">
        <f aca="false">IFERROR(IF($A385&gt;=VLOOKUP($B385,Ref_Acuerdos!$A:$E,3,FALSE()),VLOOKUP($B385,Ref_Acuerdos!$A:$E,5,FALSE()),"Sin FTA/PTA vigente ese año - arancel NMF"),"Sin FTA/PTA identificado - arancel NMF")</f>
        <v>Sin FTA/PTA identificado - arancel NMF</v>
      </c>
    </row>
    <row r="386" customFormat="false" ht="15" hidden="false" customHeight="false" outlineLevel="0" collapsed="false">
      <c r="A386" s="2" t="n">
        <v>2014</v>
      </c>
      <c r="B386" s="2" t="s">
        <v>47</v>
      </c>
      <c r="C386" s="4" t="str">
        <f aca="false">IFERROR(VLOOKUP($B386,Ref_Continente!$A:$B,2,FALSE()),"Sin clasificar")</f>
        <v>Oceania</v>
      </c>
      <c r="D386" s="5" t="n">
        <v>489</v>
      </c>
      <c r="E386" s="6" t="n">
        <v>97</v>
      </c>
      <c r="F386" s="6" t="n">
        <v>14200</v>
      </c>
      <c r="G386" s="5" t="n">
        <v>5610000000</v>
      </c>
      <c r="H386" s="4" t="n">
        <f aca="false">IFERROR(IF(AND(VLOOKUP($B386,Ref_Acuerdos!$A:$E,2,FALSE())="FTA",$A386&gt;=VLOOKUP($B386,Ref_Acuerdos!$A:$E,3,FALSE())),1,0),0)</f>
        <v>0</v>
      </c>
      <c r="I386" s="4" t="n">
        <f aca="false">IFERROR(IF(AND(VLOOKUP($B386,Ref_Acuerdos!$A:$E,2,FALSE())="PTA",$A386&gt;=VLOOKUP($B386,Ref_Acuerdos!$A:$E,3,FALSE())),1,0),0)</f>
        <v>0</v>
      </c>
      <c r="J386" s="7" t="str">
        <f aca="false">IFERROR(IF($A386&gt;=VLOOKUP($B386,Ref_Acuerdos!$A:$E,3,FALSE()),VLOOKUP($B386,Ref_Acuerdos!$A:$E,4,FALSE()),""),"")</f>
        <v/>
      </c>
      <c r="K386" s="4" t="str">
        <f aca="false">IFERROR(IF($A386&gt;=VLOOKUP($B386,Ref_Acuerdos!$A:$E,3,FALSE()),VLOOKUP($B386,Ref_Acuerdos!$A:$E,5,FALSE()),"Sin FTA/PTA vigente ese año - arancel NMF"),"Sin FTA/PTA identificado - arancel NMF")</f>
        <v>Sin FTA/PTA identificado - arancel NMF</v>
      </c>
    </row>
    <row r="387" customFormat="false" ht="15" hidden="false" customHeight="false" outlineLevel="0" collapsed="false">
      <c r="A387" s="2" t="n">
        <v>2014</v>
      </c>
      <c r="B387" s="2" t="s">
        <v>108</v>
      </c>
      <c r="C387" s="4" t="str">
        <f aca="false">IFERROR(VLOOKUP($B387,Ref_Continente!$A:$B,2,FALSE()),"Sin clasificar")</f>
        <v>Europe</v>
      </c>
      <c r="D387" s="5" t="n">
        <v>469</v>
      </c>
      <c r="E387" s="6" t="n">
        <v>108</v>
      </c>
      <c r="F387" s="6" t="n">
        <v>9800</v>
      </c>
      <c r="G387" s="5" t="n">
        <v>726537808338</v>
      </c>
      <c r="H387" s="4" t="n">
        <f aca="false">IFERROR(IF(AND(VLOOKUP($B387,Ref_Acuerdos!$A:$E,2,FALSE())="FTA",$A387&gt;=VLOOKUP($B387,Ref_Acuerdos!$A:$E,3,FALSE())),1,0),0)</f>
        <v>0</v>
      </c>
      <c r="I387" s="4" t="n">
        <f aca="false">IFERROR(IF(AND(VLOOKUP($B387,Ref_Acuerdos!$A:$E,2,FALSE())="PTA",$A387&gt;=VLOOKUP($B387,Ref_Acuerdos!$A:$E,3,FALSE())),1,0),0)</f>
        <v>0</v>
      </c>
      <c r="J387" s="7" t="str">
        <f aca="false">IFERROR(IF($A387&gt;=VLOOKUP($B387,Ref_Acuerdos!$A:$E,3,FALSE()),VLOOKUP($B387,Ref_Acuerdos!$A:$E,4,FALSE()),""),"")</f>
        <v/>
      </c>
      <c r="K387" s="4" t="str">
        <f aca="false">IFERROR(IF($A387&gt;=VLOOKUP($B387,Ref_Acuerdos!$A:$E,3,FALSE()),VLOOKUP($B387,Ref_Acuerdos!$A:$E,5,FALSE()),"Sin FTA/PTA vigente ese año - arancel NMF"),"Sin FTA/PTA identificado - arancel NMF")</f>
        <v>Sin FTA/PTA vigente ese año - arancel NMF</v>
      </c>
    </row>
    <row r="388" customFormat="false" ht="15" hidden="false" customHeight="false" outlineLevel="0" collapsed="false">
      <c r="A388" s="2" t="n">
        <v>2014</v>
      </c>
      <c r="B388" s="2" t="s">
        <v>17</v>
      </c>
      <c r="C388" s="4" t="str">
        <f aca="false">IFERROR(VLOOKUP($B388,Ref_Continente!$A:$B,2,FALSE()),"Sin clasificar")</f>
        <v>North America</v>
      </c>
      <c r="D388" s="5" t="n">
        <v>457</v>
      </c>
      <c r="E388" s="6" t="n">
        <v>96</v>
      </c>
      <c r="F388" s="6"/>
      <c r="G388" s="5"/>
      <c r="H388" s="4" t="n">
        <f aca="false">IFERROR(IF(AND(VLOOKUP($B388,Ref_Acuerdos!$A:$E,2,FALSE())="FTA",$A388&gt;=VLOOKUP($B388,Ref_Acuerdos!$A:$E,3,FALSE())),1,0),0)</f>
        <v>0</v>
      </c>
      <c r="I388" s="4" t="n">
        <f aca="false">IFERROR(IF(AND(VLOOKUP($B388,Ref_Acuerdos!$A:$E,2,FALSE())="PTA",$A388&gt;=VLOOKUP($B388,Ref_Acuerdos!$A:$E,3,FALSE())),1,0),0)</f>
        <v>0</v>
      </c>
      <c r="J388" s="7" t="str">
        <f aca="false">IFERROR(IF($A388&gt;=VLOOKUP($B388,Ref_Acuerdos!$A:$E,3,FALSE()),VLOOKUP($B388,Ref_Acuerdos!$A:$E,4,FALSE()),""),"")</f>
        <v/>
      </c>
      <c r="K388" s="4" t="str">
        <f aca="false">IFERROR(IF($A388&gt;=VLOOKUP($B388,Ref_Acuerdos!$A:$E,3,FALSE()),VLOOKUP($B388,Ref_Acuerdos!$A:$E,5,FALSE()),"Sin FTA/PTA vigente ese año - arancel NMF"),"Sin FTA/PTA identificado - arancel NMF")</f>
        <v>Sin FTA/PTA identificado - arancel NMF</v>
      </c>
    </row>
    <row r="389" customFormat="false" ht="15" hidden="false" customHeight="false" outlineLevel="0" collapsed="false">
      <c r="A389" s="2" t="n">
        <v>2014</v>
      </c>
      <c r="B389" s="2" t="s">
        <v>51</v>
      </c>
      <c r="C389" s="4" t="str">
        <f aca="false">IFERROR(VLOOKUP($B389,Ref_Continente!$A:$B,2,FALSE()),"Sin clasificar")</f>
        <v>North America</v>
      </c>
      <c r="D389" s="5" t="n">
        <v>288</v>
      </c>
      <c r="E389" s="6" t="n">
        <v>41</v>
      </c>
      <c r="F389" s="6" t="n">
        <v>1800</v>
      </c>
      <c r="G389" s="5" t="n">
        <v>19756533971.87</v>
      </c>
      <c r="H389" s="4" t="n">
        <f aca="false">IFERROR(IF(AND(VLOOKUP($B389,Ref_Acuerdos!$A:$E,2,FALSE())="FTA",$A389&gt;=VLOOKUP($B389,Ref_Acuerdos!$A:$E,3,FALSE())),1,0),0)</f>
        <v>0</v>
      </c>
      <c r="I389" s="4" t="n">
        <f aca="false">IFERROR(IF(AND(VLOOKUP($B389,Ref_Acuerdos!$A:$E,2,FALSE())="PTA",$A389&gt;=VLOOKUP($B389,Ref_Acuerdos!$A:$E,3,FALSE())),1,0),0)</f>
        <v>0</v>
      </c>
      <c r="J389" s="7" t="str">
        <f aca="false">IFERROR(IF($A389&gt;=VLOOKUP($B389,Ref_Acuerdos!$A:$E,3,FALSE()),VLOOKUP($B389,Ref_Acuerdos!$A:$E,4,FALSE()),""),"")</f>
        <v/>
      </c>
      <c r="K389" s="4" t="str">
        <f aca="false">IFERROR(IF($A389&gt;=VLOOKUP($B389,Ref_Acuerdos!$A:$E,3,FALSE()),VLOOKUP($B389,Ref_Acuerdos!$A:$E,5,FALSE()),"Sin FTA/PTA vigente ese año - arancel NMF"),"Sin FTA/PTA identificado - arancel NMF")</f>
        <v>Sin FTA/PTA identificado - arancel NMF</v>
      </c>
    </row>
    <row r="390" customFormat="false" ht="15" hidden="false" customHeight="false" outlineLevel="0" collapsed="false">
      <c r="A390" s="2" t="n">
        <v>2014</v>
      </c>
      <c r="B390" s="2" t="s">
        <v>106</v>
      </c>
      <c r="C390" s="4" t="str">
        <f aca="false">IFERROR(VLOOKUP($B390,Ref_Continente!$A:$B,2,FALSE()),"Sin clasificar")</f>
        <v>South America</v>
      </c>
      <c r="D390" s="5" t="n">
        <v>273</v>
      </c>
      <c r="E390" s="6" t="n">
        <v>33</v>
      </c>
      <c r="F390" s="6" t="n">
        <v>2830</v>
      </c>
      <c r="G390" s="5" t="n">
        <v>5240606060.61</v>
      </c>
      <c r="H390" s="4" t="n">
        <f aca="false">IFERROR(IF(AND(VLOOKUP($B390,Ref_Acuerdos!$A:$E,2,FALSE())="FTA",$A390&gt;=VLOOKUP($B390,Ref_Acuerdos!$A:$E,3,FALSE())),1,0),0)</f>
        <v>0</v>
      </c>
      <c r="I390" s="4" t="n">
        <f aca="false">IFERROR(IF(AND(VLOOKUP($B390,Ref_Acuerdos!$A:$E,2,FALSE())="PTA",$A390&gt;=VLOOKUP($B390,Ref_Acuerdos!$A:$E,3,FALSE())),1,0),0)</f>
        <v>0</v>
      </c>
      <c r="J390" s="7" t="str">
        <f aca="false">IFERROR(IF($A390&gt;=VLOOKUP($B390,Ref_Acuerdos!$A:$E,3,FALSE()),VLOOKUP($B390,Ref_Acuerdos!$A:$E,4,FALSE()),""),"")</f>
        <v/>
      </c>
      <c r="K390" s="4" t="str">
        <f aca="false">IFERROR(IF($A390&gt;=VLOOKUP($B390,Ref_Acuerdos!$A:$E,3,FALSE()),VLOOKUP($B390,Ref_Acuerdos!$A:$E,5,FALSE()),"Sin FTA/PTA vigente ese año - arancel NMF"),"Sin FTA/PTA identificado - arancel NMF")</f>
        <v>Sin FTA/PTA identificado - arancel NMF</v>
      </c>
    </row>
    <row r="391" customFormat="false" ht="15" hidden="false" customHeight="false" outlineLevel="0" collapsed="false">
      <c r="A391" s="2" t="n">
        <v>2014</v>
      </c>
      <c r="B391" s="2" t="s">
        <v>54</v>
      </c>
      <c r="C391" s="4" t="str">
        <f aca="false">IFERROR(VLOOKUP($B391,Ref_Continente!$A:$B,2,FALSE()),"Sin clasificar")</f>
        <v>Asia</v>
      </c>
      <c r="D391" s="5" t="n">
        <v>271</v>
      </c>
      <c r="E391" s="6" t="n">
        <v>90</v>
      </c>
      <c r="F391" s="6" t="n">
        <v>19300</v>
      </c>
      <c r="G391" s="5" t="n">
        <v>890814755533.54</v>
      </c>
      <c r="H391" s="4" t="n">
        <f aca="false">IFERROR(IF(AND(VLOOKUP($B391,Ref_Acuerdos!$A:$E,2,FALSE())="FTA",$A391&gt;=VLOOKUP($B391,Ref_Acuerdos!$A:$E,3,FALSE())),1,0),0)</f>
        <v>0</v>
      </c>
      <c r="I391" s="4" t="n">
        <f aca="false">IFERROR(IF(AND(VLOOKUP($B391,Ref_Acuerdos!$A:$E,2,FALSE())="PTA",$A391&gt;=VLOOKUP($B391,Ref_Acuerdos!$A:$E,3,FALSE())),1,0),0)</f>
        <v>0</v>
      </c>
      <c r="J391" s="7" t="str">
        <f aca="false">IFERROR(IF($A391&gt;=VLOOKUP($B391,Ref_Acuerdos!$A:$E,3,FALSE()),VLOOKUP($B391,Ref_Acuerdos!$A:$E,4,FALSE()),""),"")</f>
        <v/>
      </c>
      <c r="K391" s="4" t="str">
        <f aca="false">IFERROR(IF($A391&gt;=VLOOKUP($B391,Ref_Acuerdos!$A:$E,3,FALSE()),VLOOKUP($B391,Ref_Acuerdos!$A:$E,5,FALSE()),"Sin FTA/PTA vigente ese año - arancel NMF"),"Sin FTA/PTA identificado - arancel NMF")</f>
        <v>Sin FTA/PTA identificado - arancel NMF</v>
      </c>
    </row>
    <row r="392" customFormat="false" ht="15" hidden="false" customHeight="false" outlineLevel="0" collapsed="false">
      <c r="A392" s="2" t="n">
        <v>2014</v>
      </c>
      <c r="B392" s="2" t="s">
        <v>90</v>
      </c>
      <c r="C392" s="4" t="str">
        <f aca="false">IFERROR(VLOOKUP($B392,Ref_Continente!$A:$B,2,FALSE()),"Sin clasificar")</f>
        <v>Europe</v>
      </c>
      <c r="D392" s="5" t="n">
        <v>119</v>
      </c>
      <c r="E392" s="6" t="n">
        <v>27</v>
      </c>
      <c r="F392" s="6" t="n">
        <v>10300</v>
      </c>
      <c r="G392" s="5" t="n">
        <v>542134167178.63</v>
      </c>
      <c r="H392" s="4" t="n">
        <f aca="false">IFERROR(IF(AND(VLOOKUP($B392,Ref_Acuerdos!$A:$E,2,FALSE())="FTA",$A392&gt;=VLOOKUP($B392,Ref_Acuerdos!$A:$E,3,FALSE())),1,0),0)</f>
        <v>0</v>
      </c>
      <c r="I392" s="4" t="n">
        <f aca="false">IFERROR(IF(AND(VLOOKUP($B392,Ref_Acuerdos!$A:$E,2,FALSE())="PTA",$A392&gt;=VLOOKUP($B392,Ref_Acuerdos!$A:$E,3,FALSE())),1,0),0)</f>
        <v>0</v>
      </c>
      <c r="J392" s="7" t="str">
        <f aca="false">IFERROR(IF($A392&gt;=VLOOKUP($B392,Ref_Acuerdos!$A:$E,3,FALSE()),VLOOKUP($B392,Ref_Acuerdos!$A:$E,4,FALSE()),""),"")</f>
        <v/>
      </c>
      <c r="K392" s="4" t="str">
        <f aca="false">IFERROR(IF($A392&gt;=VLOOKUP($B392,Ref_Acuerdos!$A:$E,3,FALSE()),VLOOKUP($B392,Ref_Acuerdos!$A:$E,5,FALSE()),"Sin FTA/PTA vigente ese año - arancel NMF"),"Sin FTA/PTA identificado - arancel NMF")</f>
        <v>Sin FTA/PTA vigente ese año - arancel NMF</v>
      </c>
    </row>
    <row r="393" customFormat="false" ht="15" hidden="false" customHeight="false" outlineLevel="0" collapsed="false">
      <c r="A393" s="2" t="n">
        <v>2014</v>
      </c>
      <c r="B393" s="2" t="s">
        <v>46</v>
      </c>
      <c r="C393" s="4" t="str">
        <f aca="false">IFERROR(VLOOKUP($B393,Ref_Continente!$A:$B,2,FALSE()),"Sin clasificar")</f>
        <v>Europe</v>
      </c>
      <c r="D393" s="5" t="n">
        <v>5</v>
      </c>
      <c r="E393" s="6" t="n">
        <v>13</v>
      </c>
      <c r="F393" s="6" t="n">
        <v>11250</v>
      </c>
      <c r="G393" s="5" t="n">
        <v>233911581521.06</v>
      </c>
      <c r="H393" s="4" t="n">
        <f aca="false">IFERROR(IF(AND(VLOOKUP($B393,Ref_Acuerdos!$A:$E,2,FALSE())="FTA",$A393&gt;=VLOOKUP($B393,Ref_Acuerdos!$A:$E,3,FALSE())),1,0),0)</f>
        <v>0</v>
      </c>
      <c r="I393" s="4" t="n">
        <f aca="false">IFERROR(IF(AND(VLOOKUP($B393,Ref_Acuerdos!$A:$E,2,FALSE())="PTA",$A393&gt;=VLOOKUP($B393,Ref_Acuerdos!$A:$E,3,FALSE())),1,0),0)</f>
        <v>0</v>
      </c>
      <c r="J393" s="7" t="str">
        <f aca="false">IFERROR(IF($A393&gt;=VLOOKUP($B393,Ref_Acuerdos!$A:$E,3,FALSE()),VLOOKUP($B393,Ref_Acuerdos!$A:$E,4,FALSE()),""),"")</f>
        <v/>
      </c>
      <c r="K393" s="4" t="str">
        <f aca="false">IFERROR(IF($A393&gt;=VLOOKUP($B393,Ref_Acuerdos!$A:$E,3,FALSE()),VLOOKUP($B393,Ref_Acuerdos!$A:$E,5,FALSE()),"Sin FTA/PTA vigente ese año - arancel NMF"),"Sin FTA/PTA identificado - arancel NMF")</f>
        <v>Sin FTA/PTA vigente ese año - arancel NMF</v>
      </c>
    </row>
    <row r="394" customFormat="false" ht="15" hidden="false" customHeight="false" outlineLevel="0" collapsed="false">
      <c r="A394" s="2" t="n">
        <v>2014</v>
      </c>
      <c r="B394" s="2" t="s">
        <v>22</v>
      </c>
      <c r="C394" s="4" t="str">
        <f aca="false">IFERROR(VLOOKUP($B394,Ref_Continente!$A:$B,2,FALSE()),"Sin clasificar")</f>
        <v>Europe</v>
      </c>
      <c r="D394" s="5" t="n">
        <v>5</v>
      </c>
      <c r="E394" s="6" t="n">
        <v>15</v>
      </c>
      <c r="F394" s="6" t="n">
        <v>10500</v>
      </c>
      <c r="G394" s="5"/>
      <c r="H394" s="4" t="n">
        <f aca="false">IFERROR(IF(AND(VLOOKUP($B394,Ref_Acuerdos!$A:$E,2,FALSE())="FTA",$A394&gt;=VLOOKUP($B394,Ref_Acuerdos!$A:$E,3,FALSE())),1,0),0)</f>
        <v>0</v>
      </c>
      <c r="I394" s="4" t="n">
        <f aca="false">IFERROR(IF(AND(VLOOKUP($B394,Ref_Acuerdos!$A:$E,2,FALSE())="PTA",$A394&gt;=VLOOKUP($B394,Ref_Acuerdos!$A:$E,3,FALSE())),1,0),0)</f>
        <v>0</v>
      </c>
      <c r="J394" s="7" t="str">
        <f aca="false">IFERROR(IF($A394&gt;=VLOOKUP($B394,Ref_Acuerdos!$A:$E,3,FALSE()),VLOOKUP($B394,Ref_Acuerdos!$A:$E,4,FALSE()),""),"")</f>
        <v/>
      </c>
      <c r="K394" s="4" t="str">
        <f aca="false">IFERROR(IF($A394&gt;=VLOOKUP($B394,Ref_Acuerdos!$A:$E,3,FALSE()),VLOOKUP($B394,Ref_Acuerdos!$A:$E,5,FALSE()),"Sin FTA/PTA vigente ese año - arancel NMF"),"Sin FTA/PTA identificado - arancel NMF")</f>
        <v>Sin FTA/PTA identificado - arancel NMF</v>
      </c>
    </row>
    <row r="395" customFormat="false" ht="15" hidden="false" customHeight="false" outlineLevel="0" collapsed="false">
      <c r="A395" s="2" t="n">
        <v>2015</v>
      </c>
      <c r="B395" s="2" t="s">
        <v>61</v>
      </c>
      <c r="C395" s="4" t="str">
        <f aca="false">IFERROR(VLOOKUP($B395,Ref_Continente!$A:$B,2,FALSE()),"Sin clasificar")</f>
        <v>Asia</v>
      </c>
      <c r="D395" s="5" t="n">
        <v>5213305</v>
      </c>
      <c r="E395" s="6" t="n">
        <v>1011045</v>
      </c>
      <c r="F395" s="6" t="n">
        <v>14500</v>
      </c>
      <c r="G395" s="5" t="n">
        <v>4444930651964.18</v>
      </c>
      <c r="H395" s="4" t="n">
        <f aca="false">IFERROR(IF(AND(VLOOKUP($B395,Ref_Acuerdos!$A:$E,2,FALSE())="FTA",$A395&gt;=VLOOKUP($B395,Ref_Acuerdos!$A:$E,3,FALSE())),1,0),0)</f>
        <v>0</v>
      </c>
      <c r="I395" s="4" t="n">
        <f aca="false">IFERROR(IF(AND(VLOOKUP($B395,Ref_Acuerdos!$A:$E,2,FALSE())="PTA",$A395&gt;=VLOOKUP($B395,Ref_Acuerdos!$A:$E,3,FALSE())),1,0),0)</f>
        <v>0</v>
      </c>
      <c r="J395" s="7" t="str">
        <f aca="false">IFERROR(IF($A395&gt;=VLOOKUP($B395,Ref_Acuerdos!$A:$E,3,FALSE()),VLOOKUP($B395,Ref_Acuerdos!$A:$E,4,FALSE()),""),"")</f>
        <v/>
      </c>
      <c r="K395" s="4" t="str">
        <f aca="false">IFERROR(IF($A395&gt;=VLOOKUP($B395,Ref_Acuerdos!$A:$E,3,FALSE()),VLOOKUP($B395,Ref_Acuerdos!$A:$E,5,FALSE()),"Sin FTA/PTA vigente ese año - arancel NMF"),"Sin FTA/PTA identificado - arancel NMF")</f>
        <v>Sin FTA/PTA identificado - arancel NMF</v>
      </c>
    </row>
    <row r="396" customFormat="false" ht="15" hidden="false" customHeight="false" outlineLevel="0" collapsed="false">
      <c r="A396" s="2" t="n">
        <v>2015</v>
      </c>
      <c r="B396" s="2" t="s">
        <v>96</v>
      </c>
      <c r="C396" s="4" t="str">
        <f aca="false">IFERROR(VLOOKUP($B396,Ref_Continente!$A:$B,2,FALSE()),"Sin clasificar")</f>
        <v>Europe</v>
      </c>
      <c r="D396" s="5" t="n">
        <v>5123739</v>
      </c>
      <c r="E396" s="6" t="n">
        <v>1489740</v>
      </c>
      <c r="F396" s="6" t="n">
        <v>12000</v>
      </c>
      <c r="G396" s="5" t="n">
        <v>1363482182197.71</v>
      </c>
      <c r="H396" s="4" t="n">
        <f aca="false">IFERROR(IF(AND(VLOOKUP($B396,Ref_Acuerdos!$A:$E,2,FALSE())="FTA",$A396&gt;=VLOOKUP($B396,Ref_Acuerdos!$A:$E,3,FALSE())),1,0),0)</f>
        <v>0</v>
      </c>
      <c r="I396" s="4" t="n">
        <f aca="false">IFERROR(IF(AND(VLOOKUP($B396,Ref_Acuerdos!$A:$E,2,FALSE())="PTA",$A396&gt;=VLOOKUP($B396,Ref_Acuerdos!$A:$E,3,FALSE())),1,0),0)</f>
        <v>0</v>
      </c>
      <c r="J396" s="7" t="str">
        <f aca="false">IFERROR(IF($A396&gt;=VLOOKUP($B396,Ref_Acuerdos!$A:$E,3,FALSE()),VLOOKUP($B396,Ref_Acuerdos!$A:$E,4,FALSE()),""),"")</f>
        <v/>
      </c>
      <c r="K396" s="4" t="str">
        <f aca="false">IFERROR(IF($A396&gt;=VLOOKUP($B396,Ref_Acuerdos!$A:$E,3,FALSE()),VLOOKUP($B396,Ref_Acuerdos!$A:$E,5,FALSE()),"Sin FTA/PTA vigente ese año - arancel NMF"),"Sin FTA/PTA identificado - arancel NMF")</f>
        <v>Sin FTA/PTA identificado - arancel NMF</v>
      </c>
    </row>
    <row r="397" customFormat="false" ht="15" hidden="false" customHeight="false" outlineLevel="0" collapsed="false">
      <c r="A397" s="2" t="n">
        <v>2015</v>
      </c>
      <c r="B397" s="2" t="s">
        <v>114</v>
      </c>
      <c r="C397" s="4" t="str">
        <f aca="false">IFERROR(VLOOKUP($B397,Ref_Continente!$A:$B,2,FALSE()),"Sin clasificar")</f>
        <v>North America</v>
      </c>
      <c r="D397" s="5" t="n">
        <v>2476915</v>
      </c>
      <c r="E397" s="6" t="n">
        <v>680904</v>
      </c>
      <c r="F397" s="6" t="n">
        <v>4550</v>
      </c>
      <c r="G397" s="5" t="n">
        <v>18206020741000</v>
      </c>
      <c r="H397" s="4" t="n">
        <f aca="false">IFERROR(IF(AND(VLOOKUP($B397,Ref_Acuerdos!$A:$E,2,FALSE())="FTA",$A397&gt;=VLOOKUP($B397,Ref_Acuerdos!$A:$E,3,FALSE())),1,0),0)</f>
        <v>0</v>
      </c>
      <c r="I397" s="4" t="n">
        <f aca="false">IFERROR(IF(AND(VLOOKUP($B397,Ref_Acuerdos!$A:$E,2,FALSE())="PTA",$A397&gt;=VLOOKUP($B397,Ref_Acuerdos!$A:$E,3,FALSE())),1,0),0)</f>
        <v>0</v>
      </c>
      <c r="J397" s="7" t="str">
        <f aca="false">IFERROR(IF($A397&gt;=VLOOKUP($B397,Ref_Acuerdos!$A:$E,3,FALSE()),VLOOKUP($B397,Ref_Acuerdos!$A:$E,4,FALSE()),""),"")</f>
        <v/>
      </c>
      <c r="K397" s="4" t="str">
        <f aca="false">IFERROR(IF($A397&gt;=VLOOKUP($B397,Ref_Acuerdos!$A:$E,3,FALSE()),VLOOKUP($B397,Ref_Acuerdos!$A:$E,5,FALSE()),"Sin FTA/PTA vigente ese año - arancel NMF"),"Sin FTA/PTA identificado - arancel NMF")</f>
        <v>Sin FTA/PTA identificado - arancel NMF</v>
      </c>
    </row>
    <row r="398" customFormat="false" ht="15" hidden="false" customHeight="false" outlineLevel="0" collapsed="false">
      <c r="A398" s="2" t="n">
        <v>2015</v>
      </c>
      <c r="B398" s="2" t="s">
        <v>77</v>
      </c>
      <c r="C398" s="4" t="str">
        <f aca="false">IFERROR(VLOOKUP($B398,Ref_Continente!$A:$B,2,FALSE()),"Sin clasificar")</f>
        <v>Europe</v>
      </c>
      <c r="D398" s="5" t="n">
        <v>1606222</v>
      </c>
      <c r="E398" s="6" t="n">
        <v>378238</v>
      </c>
      <c r="F398" s="6" t="n">
        <v>9300</v>
      </c>
      <c r="G398" s="5" t="n">
        <v>775743675302.73</v>
      </c>
      <c r="H398" s="4" t="n">
        <f aca="false">IFERROR(IF(AND(VLOOKUP($B398,Ref_Acuerdos!$A:$E,2,FALSE())="FTA",$A398&gt;=VLOOKUP($B398,Ref_Acuerdos!$A:$E,3,FALSE())),1,0),0)</f>
        <v>0</v>
      </c>
      <c r="I398" s="4" t="n">
        <f aca="false">IFERROR(IF(AND(VLOOKUP($B398,Ref_Acuerdos!$A:$E,2,FALSE())="PTA",$A398&gt;=VLOOKUP($B398,Ref_Acuerdos!$A:$E,3,FALSE())),1,0),0)</f>
        <v>0</v>
      </c>
      <c r="J398" s="7" t="str">
        <f aca="false">IFERROR(IF($A398&gt;=VLOOKUP($B398,Ref_Acuerdos!$A:$E,3,FALSE()),VLOOKUP($B398,Ref_Acuerdos!$A:$E,4,FALSE()),""),"")</f>
        <v/>
      </c>
      <c r="K398" s="4" t="str">
        <f aca="false">IFERROR(IF($A398&gt;=VLOOKUP($B398,Ref_Acuerdos!$A:$E,3,FALSE()),VLOOKUP($B398,Ref_Acuerdos!$A:$E,5,FALSE()),"Sin FTA/PTA vigente ese año - arancel NMF"),"Sin FTA/PTA identificado - arancel NMF")</f>
        <v>Sin FTA/PTA vigente ese año - arancel NMF</v>
      </c>
    </row>
    <row r="399" customFormat="false" ht="15" hidden="false" customHeight="false" outlineLevel="0" collapsed="false">
      <c r="A399" s="2" t="n">
        <v>2015</v>
      </c>
      <c r="B399" s="2" t="s">
        <v>105</v>
      </c>
      <c r="C399" s="4" t="str">
        <f aca="false">IFERROR(VLOOKUP($B399,Ref_Continente!$A:$B,2,FALSE()),"Sin clasificar")</f>
        <v>Europe</v>
      </c>
      <c r="D399" s="5" t="n">
        <v>734170</v>
      </c>
      <c r="E399" s="6" t="n">
        <v>160303</v>
      </c>
      <c r="F399" s="6" t="n">
        <v>8700</v>
      </c>
      <c r="G399" s="5" t="n">
        <v>1206164777553.12</v>
      </c>
      <c r="H399" s="4" t="n">
        <f aca="false">IFERROR(IF(AND(VLOOKUP($B399,Ref_Acuerdos!$A:$E,2,FALSE())="FTA",$A399&gt;=VLOOKUP($B399,Ref_Acuerdos!$A:$E,3,FALSE())),1,0),0)</f>
        <v>0</v>
      </c>
      <c r="I399" s="4" t="n">
        <f aca="false">IFERROR(IF(AND(VLOOKUP($B399,Ref_Acuerdos!$A:$E,2,FALSE())="PTA",$A399&gt;=VLOOKUP($B399,Ref_Acuerdos!$A:$E,3,FALSE())),1,0),0)</f>
        <v>0</v>
      </c>
      <c r="J399" s="7" t="str">
        <f aca="false">IFERROR(IF($A399&gt;=VLOOKUP($B399,Ref_Acuerdos!$A:$E,3,FALSE()),VLOOKUP($B399,Ref_Acuerdos!$A:$E,4,FALSE()),""),"")</f>
        <v/>
      </c>
      <c r="K399" s="4" t="str">
        <f aca="false">IFERROR(IF($A399&gt;=VLOOKUP($B399,Ref_Acuerdos!$A:$E,3,FALSE()),VLOOKUP($B399,Ref_Acuerdos!$A:$E,5,FALSE()),"Sin FTA/PTA vigente ese año - arancel NMF"),"Sin FTA/PTA identificado - arancel NMF")</f>
        <v>Sin FTA/PTA vigente ese año - arancel NMF</v>
      </c>
    </row>
    <row r="400" customFormat="false" ht="15" hidden="false" customHeight="false" outlineLevel="0" collapsed="false">
      <c r="A400" s="2" t="n">
        <v>2015</v>
      </c>
      <c r="B400" s="2" t="s">
        <v>12</v>
      </c>
      <c r="C400" s="4" t="str">
        <f aca="false">IFERROR(VLOOKUP($B400,Ref_Continente!$A:$B,2,FALSE()),"Sin clasificar")</f>
        <v>Oceania</v>
      </c>
      <c r="D400" s="5" t="n">
        <v>230034</v>
      </c>
      <c r="E400" s="6" t="n">
        <v>55218</v>
      </c>
      <c r="F400" s="6" t="n">
        <v>14000</v>
      </c>
      <c r="G400" s="5" t="n">
        <v>1356805839935.9</v>
      </c>
      <c r="H400" s="4" t="n">
        <f aca="false">IFERROR(IF(AND(VLOOKUP($B400,Ref_Acuerdos!$A:$E,2,FALSE())="FTA",$A400&gt;=VLOOKUP($B400,Ref_Acuerdos!$A:$E,3,FALSE())),1,0),0)</f>
        <v>0</v>
      </c>
      <c r="I400" s="4" t="n">
        <f aca="false">IFERROR(IF(AND(VLOOKUP($B400,Ref_Acuerdos!$A:$E,2,FALSE())="PTA",$A400&gt;=VLOOKUP($B400,Ref_Acuerdos!$A:$E,3,FALSE())),1,0),0)</f>
        <v>0</v>
      </c>
      <c r="J400" s="7" t="str">
        <f aca="false">IFERROR(IF($A400&gt;=VLOOKUP($B400,Ref_Acuerdos!$A:$E,3,FALSE()),VLOOKUP($B400,Ref_Acuerdos!$A:$E,4,FALSE()),""),"")</f>
        <v/>
      </c>
      <c r="K400" s="4" t="str">
        <f aca="false">IFERROR(IF($A400&gt;=VLOOKUP($B400,Ref_Acuerdos!$A:$E,3,FALSE()),VLOOKUP($B400,Ref_Acuerdos!$A:$E,5,FALSE()),"Sin FTA/PTA vigente ese año - arancel NMF"),"Sin FTA/PTA identificado - arancel NMF")</f>
        <v>Sin FTA/PTA identificado - arancel NMF</v>
      </c>
    </row>
    <row r="401" customFormat="false" ht="15" hidden="false" customHeight="false" outlineLevel="0" collapsed="false">
      <c r="A401" s="2" t="n">
        <v>2015</v>
      </c>
      <c r="B401" s="2" t="s">
        <v>115</v>
      </c>
      <c r="C401" s="4" t="str">
        <f aca="false">IFERROR(VLOOKUP($B401,Ref_Continente!$A:$B,2,FALSE()),"Sin clasificar")</f>
        <v>Europe</v>
      </c>
      <c r="D401" s="5" t="n">
        <v>227746</v>
      </c>
      <c r="E401" s="6" t="n">
        <v>57494</v>
      </c>
      <c r="F401" s="6" t="n">
        <v>11</v>
      </c>
      <c r="G401" s="5" t="n">
        <v>91030967789.07</v>
      </c>
      <c r="H401" s="4" t="n">
        <f aca="false">IFERROR(IF(AND(VLOOKUP($B401,Ref_Acuerdos!$A:$E,2,FALSE())="FTA",$A401&gt;=VLOOKUP($B401,Ref_Acuerdos!$A:$E,3,FALSE())),1,0),0)</f>
        <v>0</v>
      </c>
      <c r="I401" s="4" t="n">
        <f aca="false">IFERROR(IF(AND(VLOOKUP($B401,Ref_Acuerdos!$A:$E,2,FALSE())="PTA",$A401&gt;=VLOOKUP($B401,Ref_Acuerdos!$A:$E,3,FALSE())),1,0),0)</f>
        <v>0</v>
      </c>
      <c r="J401" s="7" t="str">
        <f aca="false">IFERROR(IF($A401&gt;=VLOOKUP($B401,Ref_Acuerdos!$A:$E,3,FALSE()),VLOOKUP($B401,Ref_Acuerdos!$A:$E,4,FALSE()),""),"")</f>
        <v/>
      </c>
      <c r="K401" s="4" t="str">
        <f aca="false">IFERROR(IF($A401&gt;=VLOOKUP($B401,Ref_Acuerdos!$A:$E,3,FALSE()),VLOOKUP($B401,Ref_Acuerdos!$A:$E,5,FALSE()),"Sin FTA/PTA vigente ese año - arancel NMF"),"Sin FTA/PTA identificado - arancel NMF")</f>
        <v>Sin FTA/PTA identificado - arancel NMF</v>
      </c>
    </row>
    <row r="402" customFormat="false" ht="15" hidden="false" customHeight="false" outlineLevel="0" collapsed="false">
      <c r="A402" s="2" t="n">
        <v>2015</v>
      </c>
      <c r="B402" s="2" t="s">
        <v>59</v>
      </c>
      <c r="C402" s="4" t="str">
        <f aca="false">IFERROR(VLOOKUP($B402,Ref_Continente!$A:$B,2,FALSE()),"Sin clasificar")</f>
        <v>Europe</v>
      </c>
      <c r="D402" s="5" t="n">
        <v>199095</v>
      </c>
      <c r="E402" s="6" t="n">
        <v>46365</v>
      </c>
      <c r="F402" s="6" t="n">
        <v>10100</v>
      </c>
      <c r="G402" s="5" t="n">
        <v>1845428048839.1</v>
      </c>
      <c r="H402" s="4" t="n">
        <f aca="false">IFERROR(IF(AND(VLOOKUP($B402,Ref_Acuerdos!$A:$E,2,FALSE())="FTA",$A402&gt;=VLOOKUP($B402,Ref_Acuerdos!$A:$E,3,FALSE())),1,0),0)</f>
        <v>0</v>
      </c>
      <c r="I402" s="4" t="n">
        <f aca="false">IFERROR(IF(AND(VLOOKUP($B402,Ref_Acuerdos!$A:$E,2,FALSE())="PTA",$A402&gt;=VLOOKUP($B402,Ref_Acuerdos!$A:$E,3,FALSE())),1,0),0)</f>
        <v>0</v>
      </c>
      <c r="J402" s="7" t="str">
        <f aca="false">IFERROR(IF($A402&gt;=VLOOKUP($B402,Ref_Acuerdos!$A:$E,3,FALSE()),VLOOKUP($B402,Ref_Acuerdos!$A:$E,4,FALSE()),""),"")</f>
        <v/>
      </c>
      <c r="K402" s="4" t="str">
        <f aca="false">IFERROR(IF($A402&gt;=VLOOKUP($B402,Ref_Acuerdos!$A:$E,3,FALSE()),VLOOKUP($B402,Ref_Acuerdos!$A:$E,5,FALSE()),"Sin FTA/PTA vigente ese año - arancel NMF"),"Sin FTA/PTA identificado - arancel NMF")</f>
        <v>Sin FTA/PTA vigente ese año - arancel NMF</v>
      </c>
    </row>
    <row r="403" customFormat="false" ht="15" hidden="false" customHeight="false" outlineLevel="0" collapsed="false">
      <c r="A403" s="2" t="n">
        <v>2015</v>
      </c>
      <c r="B403" s="2" t="s">
        <v>26</v>
      </c>
      <c r="C403" s="4" t="str">
        <f aca="false">IFERROR(VLOOKUP($B403,Ref_Continente!$A:$B,2,FALSE()),"Sin clasificar")</f>
        <v>South America</v>
      </c>
      <c r="D403" s="5" t="n">
        <v>147402</v>
      </c>
      <c r="E403" s="6" t="n">
        <v>40628</v>
      </c>
      <c r="F403" s="6" t="n">
        <v>2600</v>
      </c>
      <c r="G403" s="5" t="n">
        <v>242450355830.88</v>
      </c>
      <c r="H403" s="4" t="n">
        <f aca="false">IFERROR(IF(AND(VLOOKUP($B403,Ref_Acuerdos!$A:$E,2,FALSE())="FTA",$A403&gt;=VLOOKUP($B403,Ref_Acuerdos!$A:$E,3,FALSE())),1,0),0)</f>
        <v>1</v>
      </c>
      <c r="I403" s="4" t="n">
        <f aca="false">IFERROR(IF(AND(VLOOKUP($B403,Ref_Acuerdos!$A:$E,2,FALSE())="PTA",$A403&gt;=VLOOKUP($B403,Ref_Acuerdos!$A:$E,3,FALSE())),1,0),0)</f>
        <v>0</v>
      </c>
      <c r="J403" s="7" t="n">
        <f aca="false">IFERROR(IF($A403&gt;=VLOOKUP($B403,Ref_Acuerdos!$A:$E,3,FALSE()),VLOOKUP($B403,Ref_Acuerdos!$A:$E,4,FALSE()),""),"")</f>
        <v>0</v>
      </c>
      <c r="K403" s="4" t="str">
        <f aca="false">IFERROR(IF($A403&gt;=VLOOKUP($B403,Ref_Acuerdos!$A:$E,3,FALSE()),VLOOKUP($B403,Ref_Acuerdos!$A:$E,5,FALSE()),"Sin FTA/PTA vigente ese año - arancel NMF"),"Sin FTA/PTA identificado - arancel NMF")</f>
        <v>Ecuador-Chile ACE 65, vigente desde 2010</v>
      </c>
    </row>
    <row r="404" customFormat="false" ht="15" hidden="false" customHeight="false" outlineLevel="0" collapsed="false">
      <c r="A404" s="2" t="n">
        <v>2015</v>
      </c>
      <c r="B404" s="2" t="s">
        <v>118</v>
      </c>
      <c r="C404" s="4" t="str">
        <f aca="false">IFERROR(VLOOKUP($B404,Ref_Continente!$A:$B,2,FALSE()),"Sin clasificar")</f>
        <v>South America</v>
      </c>
      <c r="D404" s="5" t="n">
        <v>140610</v>
      </c>
      <c r="E404" s="6" t="n">
        <v>26106</v>
      </c>
      <c r="F404" s="6" t="n">
        <v>4650</v>
      </c>
      <c r="G404" s="5" t="n">
        <v>57680327998.67</v>
      </c>
      <c r="H404" s="4" t="n">
        <f aca="false">IFERROR(IF(AND(VLOOKUP($B404,Ref_Acuerdos!$A:$E,2,FALSE())="FTA",$A404&gt;=VLOOKUP($B404,Ref_Acuerdos!$A:$E,3,FALSE())),1,0),0)</f>
        <v>0</v>
      </c>
      <c r="I404" s="4" t="n">
        <f aca="false">IFERROR(IF(AND(VLOOKUP($B404,Ref_Acuerdos!$A:$E,2,FALSE())="PTA",$A404&gt;=VLOOKUP($B404,Ref_Acuerdos!$A:$E,3,FALSE())),1,0),0)</f>
        <v>1</v>
      </c>
      <c r="J404" s="7" t="n">
        <f aca="false">IFERROR(IF($A404&gt;=VLOOKUP($B404,Ref_Acuerdos!$A:$E,3,FALSE()),VLOOKUP($B404,Ref_Acuerdos!$A:$E,4,FALSE()),""),"")</f>
        <v>5</v>
      </c>
      <c r="K404" s="4" t="str">
        <f aca="false">IFERROR(IF($A404&gt;=VLOOKUP($B404,Ref_Acuerdos!$A:$E,3,FALSE()),VLOOKUP($B404,Ref_Acuerdos!$A:$E,5,FALSE()),"Sin FTA/PTA vigente ese año - arancel NMF"),"Sin FTA/PTA identificado - arancel NMF")</f>
        <v>Ecuador-Mercosur ACE 59 - preferencias parciales (tarifa referencial)</v>
      </c>
    </row>
    <row r="405" customFormat="false" ht="15" hidden="false" customHeight="false" outlineLevel="0" collapsed="false">
      <c r="A405" s="2" t="n">
        <v>2015</v>
      </c>
      <c r="B405" s="2" t="s">
        <v>68</v>
      </c>
      <c r="C405" s="4" t="str">
        <f aca="false">IFERROR(VLOOKUP($B405,Ref_Continente!$A:$B,2,FALSE()),"Sin clasificar")</f>
        <v>Europe</v>
      </c>
      <c r="D405" s="5" t="n">
        <v>110129</v>
      </c>
      <c r="E405" s="6" t="n">
        <v>19473</v>
      </c>
      <c r="F405" s="6" t="n">
        <v>10250</v>
      </c>
      <c r="G405" s="5" t="n">
        <v>41540954817.2</v>
      </c>
      <c r="H405" s="4" t="n">
        <f aca="false">IFERROR(IF(AND(VLOOKUP($B405,Ref_Acuerdos!$A:$E,2,FALSE())="FTA",$A405&gt;=VLOOKUP($B405,Ref_Acuerdos!$A:$E,3,FALSE())),1,0),0)</f>
        <v>0</v>
      </c>
      <c r="I405" s="4" t="n">
        <f aca="false">IFERROR(IF(AND(VLOOKUP($B405,Ref_Acuerdos!$A:$E,2,FALSE())="PTA",$A405&gt;=VLOOKUP($B405,Ref_Acuerdos!$A:$E,3,FALSE())),1,0),0)</f>
        <v>0</v>
      </c>
      <c r="J405" s="7" t="str">
        <f aca="false">IFERROR(IF($A405&gt;=VLOOKUP($B405,Ref_Acuerdos!$A:$E,3,FALSE()),VLOOKUP($B405,Ref_Acuerdos!$A:$E,4,FALSE()),""),"")</f>
        <v/>
      </c>
      <c r="K405" s="4" t="str">
        <f aca="false">IFERROR(IF($A405&gt;=VLOOKUP($B405,Ref_Acuerdos!$A:$E,3,FALSE()),VLOOKUP($B405,Ref_Acuerdos!$A:$E,5,FALSE()),"Sin FTA/PTA vigente ese año - arancel NMF"),"Sin FTA/PTA identificado - arancel NMF")</f>
        <v>Sin FTA/PTA vigente ese año - arancel NMF</v>
      </c>
    </row>
    <row r="406" customFormat="false" ht="15" hidden="false" customHeight="false" outlineLevel="0" collapsed="false">
      <c r="A406" s="2" t="n">
        <v>2015</v>
      </c>
      <c r="B406" s="2" t="s">
        <v>52</v>
      </c>
      <c r="C406" s="4" t="str">
        <f aca="false">IFERROR(VLOOKUP($B406,Ref_Continente!$A:$B,2,FALSE()),"Sin clasificar")</f>
        <v>Europe</v>
      </c>
      <c r="D406" s="5" t="n">
        <v>107450</v>
      </c>
      <c r="E406" s="6" t="n">
        <v>24643</v>
      </c>
      <c r="F406" s="6" t="n">
        <v>10350</v>
      </c>
      <c r="G406" s="5" t="n">
        <v>125244126623.29</v>
      </c>
      <c r="H406" s="4" t="n">
        <f aca="false">IFERROR(IF(AND(VLOOKUP($B406,Ref_Acuerdos!$A:$E,2,FALSE())="FTA",$A406&gt;=VLOOKUP($B406,Ref_Acuerdos!$A:$E,3,FALSE())),1,0),0)</f>
        <v>0</v>
      </c>
      <c r="I406" s="4" t="n">
        <f aca="false">IFERROR(IF(AND(VLOOKUP($B406,Ref_Acuerdos!$A:$E,2,FALSE())="PTA",$A406&gt;=VLOOKUP($B406,Ref_Acuerdos!$A:$E,3,FALSE())),1,0),0)</f>
        <v>0</v>
      </c>
      <c r="J406" s="7" t="str">
        <f aca="false">IFERROR(IF($A406&gt;=VLOOKUP($B406,Ref_Acuerdos!$A:$E,3,FALSE()),VLOOKUP($B406,Ref_Acuerdos!$A:$E,4,FALSE()),""),"")</f>
        <v/>
      </c>
      <c r="K406" s="4" t="str">
        <f aca="false">IFERROR(IF($A406&gt;=VLOOKUP($B406,Ref_Acuerdos!$A:$E,3,FALSE()),VLOOKUP($B406,Ref_Acuerdos!$A:$E,5,FALSE()),"Sin FTA/PTA vigente ese año - arancel NMF"),"Sin FTA/PTA identificado - arancel NMF")</f>
        <v>Sin FTA/PTA vigente ese año - arancel NMF</v>
      </c>
    </row>
    <row r="407" customFormat="false" ht="15" hidden="false" customHeight="false" outlineLevel="0" collapsed="false">
      <c r="A407" s="2" t="n">
        <v>2015</v>
      </c>
      <c r="B407" s="2" t="s">
        <v>25</v>
      </c>
      <c r="C407" s="4" t="str">
        <f aca="false">IFERROR(VLOOKUP($B407,Ref_Continente!$A:$B,2,FALSE()),"Sin clasificar")</f>
        <v>North America</v>
      </c>
      <c r="D407" s="5" t="n">
        <v>103383</v>
      </c>
      <c r="E407" s="6" t="n">
        <v>15651</v>
      </c>
      <c r="F407" s="6" t="n">
        <v>5900</v>
      </c>
      <c r="G407" s="5" t="n">
        <v>1556508816217.14</v>
      </c>
      <c r="H407" s="4" t="n">
        <f aca="false">IFERROR(IF(AND(VLOOKUP($B407,Ref_Acuerdos!$A:$E,2,FALSE())="FTA",$A407&gt;=VLOOKUP($B407,Ref_Acuerdos!$A:$E,3,FALSE())),1,0),0)</f>
        <v>0</v>
      </c>
      <c r="I407" s="4" t="n">
        <f aca="false">IFERROR(IF(AND(VLOOKUP($B407,Ref_Acuerdos!$A:$E,2,FALSE())="PTA",$A407&gt;=VLOOKUP($B407,Ref_Acuerdos!$A:$E,3,FALSE())),1,0),0)</f>
        <v>0</v>
      </c>
      <c r="J407" s="7" t="str">
        <f aca="false">IFERROR(IF($A407&gt;=VLOOKUP($B407,Ref_Acuerdos!$A:$E,3,FALSE()),VLOOKUP($B407,Ref_Acuerdos!$A:$E,4,FALSE()),""),"")</f>
        <v/>
      </c>
      <c r="K407" s="4" t="str">
        <f aca="false">IFERROR(IF($A407&gt;=VLOOKUP($B407,Ref_Acuerdos!$A:$E,3,FALSE()),VLOOKUP($B407,Ref_Acuerdos!$A:$E,5,FALSE()),"Sin FTA/PTA vigente ese año - arancel NMF"),"Sin FTA/PTA identificado - arancel NMF")</f>
        <v>Sin FTA/PTA identificado - arancel NMF</v>
      </c>
    </row>
    <row r="408" customFormat="false" ht="15" hidden="false" customHeight="false" outlineLevel="0" collapsed="false">
      <c r="A408" s="2" t="n">
        <v>2015</v>
      </c>
      <c r="B408" s="2" t="s">
        <v>19</v>
      </c>
      <c r="C408" s="4" t="str">
        <f aca="false">IFERROR(VLOOKUP($B408,Ref_Continente!$A:$B,2,FALSE()),"Sin clasificar")</f>
        <v>Europe</v>
      </c>
      <c r="D408" s="5" t="n">
        <v>89129</v>
      </c>
      <c r="E408" s="6" t="n">
        <v>28391</v>
      </c>
      <c r="F408" s="6" t="n">
        <v>10600</v>
      </c>
      <c r="G408" s="5" t="n">
        <v>56454769844.76</v>
      </c>
      <c r="H408" s="4" t="n">
        <f aca="false">IFERROR(IF(AND(VLOOKUP($B408,Ref_Acuerdos!$A:$E,2,FALSE())="FTA",$A408&gt;=VLOOKUP($B408,Ref_Acuerdos!$A:$E,3,FALSE())),1,0),0)</f>
        <v>0</v>
      </c>
      <c r="I408" s="4" t="n">
        <f aca="false">IFERROR(IF(AND(VLOOKUP($B408,Ref_Acuerdos!$A:$E,2,FALSE())="PTA",$A408&gt;=VLOOKUP($B408,Ref_Acuerdos!$A:$E,3,FALSE())),1,0),0)</f>
        <v>0</v>
      </c>
      <c r="J408" s="7" t="str">
        <f aca="false">IFERROR(IF($A408&gt;=VLOOKUP($B408,Ref_Acuerdos!$A:$E,3,FALSE()),VLOOKUP($B408,Ref_Acuerdos!$A:$E,4,FALSE()),""),"")</f>
        <v/>
      </c>
      <c r="K408" s="4" t="str">
        <f aca="false">IFERROR(IF($A408&gt;=VLOOKUP($B408,Ref_Acuerdos!$A:$E,3,FALSE()),VLOOKUP($B408,Ref_Acuerdos!$A:$E,5,FALSE()),"Sin FTA/PTA vigente ese año - arancel NMF"),"Sin FTA/PTA identificado - arancel NMF")</f>
        <v>Sin FTA/PTA identificado - arancel NMF</v>
      </c>
    </row>
    <row r="409" customFormat="false" ht="15" hidden="false" customHeight="false" outlineLevel="0" collapsed="false">
      <c r="A409" s="2" t="n">
        <v>2015</v>
      </c>
      <c r="B409" s="2" t="s">
        <v>35</v>
      </c>
      <c r="C409" s="4" t="str">
        <f aca="false">IFERROR(VLOOKUP($B409,Ref_Continente!$A:$B,2,FALSE()),"Sin clasificar")</f>
        <v>Europe</v>
      </c>
      <c r="D409" s="5" t="n">
        <v>84636</v>
      </c>
      <c r="E409" s="6" t="n">
        <v>15348</v>
      </c>
      <c r="F409" s="6" t="n">
        <v>10100</v>
      </c>
      <c r="G409" s="5" t="n">
        <v>189107698561.92</v>
      </c>
      <c r="H409" s="4" t="n">
        <f aca="false">IFERROR(IF(AND(VLOOKUP($B409,Ref_Acuerdos!$A:$E,2,FALSE())="FTA",$A409&gt;=VLOOKUP($B409,Ref_Acuerdos!$A:$E,3,FALSE())),1,0),0)</f>
        <v>0</v>
      </c>
      <c r="I409" s="4" t="n">
        <f aca="false">IFERROR(IF(AND(VLOOKUP($B409,Ref_Acuerdos!$A:$E,2,FALSE())="PTA",$A409&gt;=VLOOKUP($B409,Ref_Acuerdos!$A:$E,3,FALSE())),1,0),0)</f>
        <v>0</v>
      </c>
      <c r="J409" s="7" t="str">
        <f aca="false">IFERROR(IF($A409&gt;=VLOOKUP($B409,Ref_Acuerdos!$A:$E,3,FALSE()),VLOOKUP($B409,Ref_Acuerdos!$A:$E,4,FALSE()),""),"")</f>
        <v/>
      </c>
      <c r="K409" s="4" t="str">
        <f aca="false">IFERROR(IF($A409&gt;=VLOOKUP($B409,Ref_Acuerdos!$A:$E,3,FALSE()),VLOOKUP($B409,Ref_Acuerdos!$A:$E,5,FALSE()),"Sin FTA/PTA vigente ese año - arancel NMF"),"Sin FTA/PTA identificado - arancel NMF")</f>
        <v>Sin FTA/PTA vigente ese año - arancel NMF</v>
      </c>
    </row>
    <row r="410" customFormat="false" ht="15" hidden="false" customHeight="false" outlineLevel="0" collapsed="false">
      <c r="A410" s="2" t="n">
        <v>2015</v>
      </c>
      <c r="B410" s="2" t="s">
        <v>6</v>
      </c>
      <c r="C410" s="4" t="str">
        <f aca="false">IFERROR(VLOOKUP($B410,Ref_Continente!$A:$B,2,FALSE()),"Sin clasificar")</f>
        <v>South America</v>
      </c>
      <c r="D410" s="5" t="n">
        <v>77415</v>
      </c>
      <c r="E410" s="6" t="n">
        <v>21549</v>
      </c>
      <c r="F410" s="6" t="n">
        <v>4320</v>
      </c>
      <c r="G410" s="5" t="n">
        <v>594749285413.21</v>
      </c>
      <c r="H410" s="4" t="n">
        <f aca="false">IFERROR(IF(AND(VLOOKUP($B410,Ref_Acuerdos!$A:$E,2,FALSE())="FTA",$A410&gt;=VLOOKUP($B410,Ref_Acuerdos!$A:$E,3,FALSE())),1,0),0)</f>
        <v>0</v>
      </c>
      <c r="I410" s="4" t="n">
        <f aca="false">IFERROR(IF(AND(VLOOKUP($B410,Ref_Acuerdos!$A:$E,2,FALSE())="PTA",$A410&gt;=VLOOKUP($B410,Ref_Acuerdos!$A:$E,3,FALSE())),1,0),0)</f>
        <v>1</v>
      </c>
      <c r="J410" s="7" t="n">
        <f aca="false">IFERROR(IF($A410&gt;=VLOOKUP($B410,Ref_Acuerdos!$A:$E,3,FALSE()),VLOOKUP($B410,Ref_Acuerdos!$A:$E,4,FALSE()),""),"")</f>
        <v>5</v>
      </c>
      <c r="K410" s="4" t="str">
        <f aca="false">IFERROR(IF($A410&gt;=VLOOKUP($B410,Ref_Acuerdos!$A:$E,3,FALSE()),VLOOKUP($B410,Ref_Acuerdos!$A:$E,5,FALSE()),"Sin FTA/PTA vigente ese año - arancel NMF"),"Sin FTA/PTA identificado - arancel NMF")</f>
        <v>Ecuador-Mercosur ACE 59 - preferencias parciales (tarifa referencial)</v>
      </c>
    </row>
    <row r="411" customFormat="false" ht="15" hidden="false" customHeight="false" outlineLevel="0" collapsed="false">
      <c r="A411" s="2" t="n">
        <v>2015</v>
      </c>
      <c r="B411" s="2" t="s">
        <v>37</v>
      </c>
      <c r="C411" s="4" t="str">
        <f aca="false">IFERROR(VLOOKUP($B411,Ref_Continente!$A:$B,2,FALSE()),"Sin clasificar")</f>
        <v>North America</v>
      </c>
      <c r="D411" s="5" t="n">
        <v>51759</v>
      </c>
      <c r="E411" s="6" t="n">
        <v>13291</v>
      </c>
      <c r="F411" s="6" t="n">
        <v>2200</v>
      </c>
      <c r="G411" s="5" t="n">
        <v>70966782572.44</v>
      </c>
      <c r="H411" s="4" t="n">
        <f aca="false">IFERROR(IF(AND(VLOOKUP($B411,Ref_Acuerdos!$A:$E,2,FALSE())="FTA",$A411&gt;=VLOOKUP($B411,Ref_Acuerdos!$A:$E,3,FALSE())),1,0),0)</f>
        <v>0</v>
      </c>
      <c r="I411" s="4" t="n">
        <f aca="false">IFERROR(IF(AND(VLOOKUP($B411,Ref_Acuerdos!$A:$E,2,FALSE())="PTA",$A411&gt;=VLOOKUP($B411,Ref_Acuerdos!$A:$E,3,FALSE())),1,0),0)</f>
        <v>0</v>
      </c>
      <c r="J411" s="7" t="str">
        <f aca="false">IFERROR(IF($A411&gt;=VLOOKUP($B411,Ref_Acuerdos!$A:$E,3,FALSE()),VLOOKUP($B411,Ref_Acuerdos!$A:$E,4,FALSE()),""),"")</f>
        <v/>
      </c>
      <c r="K411" s="4" t="str">
        <f aca="false">IFERROR(IF($A411&gt;=VLOOKUP($B411,Ref_Acuerdos!$A:$E,3,FALSE()),VLOOKUP($B411,Ref_Acuerdos!$A:$E,5,FALSE()),"Sin FTA/PTA vigente ese año - arancel NMF"),"Sin FTA/PTA identificado - arancel NMF")</f>
        <v>Sin FTA/PTA identificado - arancel NMF</v>
      </c>
    </row>
    <row r="412" customFormat="false" ht="15" hidden="false" customHeight="false" outlineLevel="0" collapsed="false">
      <c r="A412" s="2" t="n">
        <v>2015</v>
      </c>
      <c r="B412" s="2" t="s">
        <v>45</v>
      </c>
      <c r="C412" s="4" t="str">
        <f aca="false">IFERROR(VLOOKUP($B412,Ref_Continente!$A:$B,2,FALSE()),"Sin clasificar")</f>
        <v>Europe</v>
      </c>
      <c r="D412" s="5" t="n">
        <v>46479</v>
      </c>
      <c r="E412" s="6" t="n">
        <v>14477</v>
      </c>
      <c r="F412" s="6" t="n">
        <v>9650</v>
      </c>
      <c r="G412" s="5" t="n">
        <v>3425099578746.09</v>
      </c>
      <c r="H412" s="4" t="n">
        <f aca="false">IFERROR(IF(AND(VLOOKUP($B412,Ref_Acuerdos!$A:$E,2,FALSE())="FTA",$A412&gt;=VLOOKUP($B412,Ref_Acuerdos!$A:$E,3,FALSE())),1,0),0)</f>
        <v>0</v>
      </c>
      <c r="I412" s="4" t="n">
        <f aca="false">IFERROR(IF(AND(VLOOKUP($B412,Ref_Acuerdos!$A:$E,2,FALSE())="PTA",$A412&gt;=VLOOKUP($B412,Ref_Acuerdos!$A:$E,3,FALSE())),1,0),0)</f>
        <v>0</v>
      </c>
      <c r="J412" s="7" t="str">
        <f aca="false">IFERROR(IF($A412&gt;=VLOOKUP($B412,Ref_Acuerdos!$A:$E,3,FALSE()),VLOOKUP($B412,Ref_Acuerdos!$A:$E,4,FALSE()),""),"")</f>
        <v/>
      </c>
      <c r="K412" s="4" t="str">
        <f aca="false">IFERROR(IF($A412&gt;=VLOOKUP($B412,Ref_Acuerdos!$A:$E,3,FALSE()),VLOOKUP($B412,Ref_Acuerdos!$A:$E,5,FALSE()),"Sin FTA/PTA vigente ese año - arancel NMF"),"Sin FTA/PTA identificado - arancel NMF")</f>
        <v>Sin FTA/PTA vigente ese año - arancel NMF</v>
      </c>
    </row>
    <row r="413" customFormat="false" ht="15" hidden="false" customHeight="false" outlineLevel="0" collapsed="false">
      <c r="A413" s="2" t="n">
        <v>2015</v>
      </c>
      <c r="B413" s="2" t="s">
        <v>92</v>
      </c>
      <c r="C413" s="4" t="str">
        <f aca="false">IFERROR(VLOOKUP($B413,Ref_Continente!$A:$B,2,FALSE()),"Sin clasificar")</f>
        <v>Asia</v>
      </c>
      <c r="D413" s="5" t="n">
        <v>45008</v>
      </c>
      <c r="E413" s="6" t="n">
        <v>11732</v>
      </c>
      <c r="F413" s="6" t="n">
        <v>14000</v>
      </c>
      <c r="G413" s="5" t="n">
        <v>161739835164.84</v>
      </c>
      <c r="H413" s="4" t="n">
        <f aca="false">IFERROR(IF(AND(VLOOKUP($B413,Ref_Acuerdos!$A:$E,2,FALSE())="FTA",$A413&gt;=VLOOKUP($B413,Ref_Acuerdos!$A:$E,3,FALSE())),1,0),0)</f>
        <v>0</v>
      </c>
      <c r="I413" s="4" t="n">
        <f aca="false">IFERROR(IF(AND(VLOOKUP($B413,Ref_Acuerdos!$A:$E,2,FALSE())="PTA",$A413&gt;=VLOOKUP($B413,Ref_Acuerdos!$A:$E,3,FALSE())),1,0),0)</f>
        <v>0</v>
      </c>
      <c r="J413" s="7" t="str">
        <f aca="false">IFERROR(IF($A413&gt;=VLOOKUP($B413,Ref_Acuerdos!$A:$E,3,FALSE()),VLOOKUP($B413,Ref_Acuerdos!$A:$E,4,FALSE()),""),"")</f>
        <v/>
      </c>
      <c r="K413" s="4" t="str">
        <f aca="false">IFERROR(IF($A413&gt;=VLOOKUP($B413,Ref_Acuerdos!$A:$E,3,FALSE()),VLOOKUP($B413,Ref_Acuerdos!$A:$E,5,FALSE()),"Sin FTA/PTA vigente ese año - arancel NMF"),"Sin FTA/PTA identificado - arancel NMF")</f>
        <v>Sin FTA/PTA identificado - arancel NMF</v>
      </c>
    </row>
    <row r="414" customFormat="false" ht="15" hidden="false" customHeight="false" outlineLevel="0" collapsed="false">
      <c r="A414" s="2" t="n">
        <v>2015</v>
      </c>
      <c r="B414" s="2" t="s">
        <v>87</v>
      </c>
      <c r="C414" s="4" t="str">
        <f aca="false">IFERROR(VLOOKUP($B414,Ref_Continente!$A:$B,2,FALSE()),"Sin clasificar")</f>
        <v>South America</v>
      </c>
      <c r="D414" s="5" t="n">
        <v>42960</v>
      </c>
      <c r="E414" s="6" t="n">
        <v>11727</v>
      </c>
      <c r="F414" s="6" t="n">
        <v>3600</v>
      </c>
      <c r="G414" s="5" t="n">
        <v>36211447840.1</v>
      </c>
      <c r="H414" s="4" t="n">
        <f aca="false">IFERROR(IF(AND(VLOOKUP($B414,Ref_Acuerdos!$A:$E,2,FALSE())="FTA",$A414&gt;=VLOOKUP($B414,Ref_Acuerdos!$A:$E,3,FALSE())),1,0),0)</f>
        <v>0</v>
      </c>
      <c r="I414" s="4" t="n">
        <f aca="false">IFERROR(IF(AND(VLOOKUP($B414,Ref_Acuerdos!$A:$E,2,FALSE())="PTA",$A414&gt;=VLOOKUP($B414,Ref_Acuerdos!$A:$E,3,FALSE())),1,0),0)</f>
        <v>1</v>
      </c>
      <c r="J414" s="7" t="n">
        <f aca="false">IFERROR(IF($A414&gt;=VLOOKUP($B414,Ref_Acuerdos!$A:$E,3,FALSE()),VLOOKUP($B414,Ref_Acuerdos!$A:$E,4,FALSE()),""),"")</f>
        <v>5</v>
      </c>
      <c r="K414" s="4" t="str">
        <f aca="false">IFERROR(IF($A414&gt;=VLOOKUP($B414,Ref_Acuerdos!$A:$E,3,FALSE()),VLOOKUP($B414,Ref_Acuerdos!$A:$E,5,FALSE()),"Sin FTA/PTA vigente ese año - arancel NMF"),"Sin FTA/PTA identificado - arancel NMF")</f>
        <v>Ecuador-Mercosur ACE 59 - preferencias parciales (tarifa referencial)</v>
      </c>
    </row>
    <row r="415" customFormat="false" ht="15" hidden="false" customHeight="false" outlineLevel="0" collapsed="false">
      <c r="A415" s="2" t="n">
        <v>2015</v>
      </c>
      <c r="B415" s="2" t="s">
        <v>63</v>
      </c>
      <c r="C415" s="4" t="str">
        <f aca="false">IFERROR(VLOOKUP($B415,Ref_Continente!$A:$B,2,FALSE()),"Sin clasificar")</f>
        <v>Asia</v>
      </c>
      <c r="D415" s="5" t="n">
        <v>42594</v>
      </c>
      <c r="E415" s="6" t="n">
        <v>14432</v>
      </c>
      <c r="F415" s="6" t="n">
        <v>13600</v>
      </c>
      <c r="G415" s="5" t="n">
        <v>184388404706.04</v>
      </c>
      <c r="H415" s="4" t="n">
        <f aca="false">IFERROR(IF(AND(VLOOKUP($B415,Ref_Acuerdos!$A:$E,2,FALSE())="FTA",$A415&gt;=VLOOKUP($B415,Ref_Acuerdos!$A:$E,3,FALSE())),1,0),0)</f>
        <v>0</v>
      </c>
      <c r="I415" s="4" t="n">
        <f aca="false">IFERROR(IF(AND(VLOOKUP($B415,Ref_Acuerdos!$A:$E,2,FALSE())="PTA",$A415&gt;=VLOOKUP($B415,Ref_Acuerdos!$A:$E,3,FALSE())),1,0),0)</f>
        <v>0</v>
      </c>
      <c r="J415" s="7" t="str">
        <f aca="false">IFERROR(IF($A415&gt;=VLOOKUP($B415,Ref_Acuerdos!$A:$E,3,FALSE()),VLOOKUP($B415,Ref_Acuerdos!$A:$E,4,FALSE()),""),"")</f>
        <v/>
      </c>
      <c r="K415" s="4" t="str">
        <f aca="false">IFERROR(IF($A415&gt;=VLOOKUP($B415,Ref_Acuerdos!$A:$E,3,FALSE()),VLOOKUP($B415,Ref_Acuerdos!$A:$E,5,FALSE()),"Sin FTA/PTA vigente ese año - arancel NMF"),"Sin FTA/PTA identificado - arancel NMF")</f>
        <v>Sin FTA/PTA identificado - arancel NMF</v>
      </c>
    </row>
    <row r="416" customFormat="false" ht="15" hidden="false" customHeight="false" outlineLevel="0" collapsed="false">
      <c r="A416" s="2" t="n">
        <v>2015</v>
      </c>
      <c r="B416" s="2" t="s">
        <v>116</v>
      </c>
      <c r="C416" s="4" t="str">
        <f aca="false">IFERROR(VLOOKUP($B416,Ref_Continente!$A:$B,2,FALSE()),"Sin clasificar")</f>
        <v>Asia</v>
      </c>
      <c r="D416" s="5" t="n">
        <v>39248</v>
      </c>
      <c r="E416" s="6" t="n">
        <v>11714</v>
      </c>
      <c r="F416" s="6" t="n">
        <v>14200</v>
      </c>
      <c r="G416" s="5" t="n">
        <v>381973042886.32</v>
      </c>
      <c r="H416" s="4" t="n">
        <f aca="false">IFERROR(IF(AND(VLOOKUP($B416,Ref_Acuerdos!$A:$E,2,FALSE())="FTA",$A416&gt;=VLOOKUP($B416,Ref_Acuerdos!$A:$E,3,FALSE())),1,0),0)</f>
        <v>0</v>
      </c>
      <c r="I416" s="4" t="n">
        <f aca="false">IFERROR(IF(AND(VLOOKUP($B416,Ref_Acuerdos!$A:$E,2,FALSE())="PTA",$A416&gt;=VLOOKUP($B416,Ref_Acuerdos!$A:$E,3,FALSE())),1,0),0)</f>
        <v>0</v>
      </c>
      <c r="J416" s="7" t="str">
        <f aca="false">IFERROR(IF($A416&gt;=VLOOKUP($B416,Ref_Acuerdos!$A:$E,3,FALSE()),VLOOKUP($B416,Ref_Acuerdos!$A:$E,4,FALSE()),""),"")</f>
        <v/>
      </c>
      <c r="K416" s="4" t="str">
        <f aca="false">IFERROR(IF($A416&gt;=VLOOKUP($B416,Ref_Acuerdos!$A:$E,3,FALSE()),VLOOKUP($B416,Ref_Acuerdos!$A:$E,5,FALSE()),"Sin FTA/PTA vigente ese año - arancel NMF"),"Sin FTA/PTA identificado - arancel NMF")</f>
        <v>Sin FTA/PTA identificado - arancel NMF</v>
      </c>
    </row>
    <row r="417" customFormat="false" ht="15" hidden="false" customHeight="false" outlineLevel="0" collapsed="false">
      <c r="A417" s="2" t="n">
        <v>2015</v>
      </c>
      <c r="B417" s="2" t="s">
        <v>32</v>
      </c>
      <c r="C417" s="4" t="str">
        <f aca="false">IFERROR(VLOOKUP($B417,Ref_Continente!$A:$B,2,FALSE()),"Sin clasificar")</f>
        <v>North America</v>
      </c>
      <c r="D417" s="5" t="n">
        <v>33577</v>
      </c>
      <c r="E417" s="6" t="n">
        <v>828</v>
      </c>
      <c r="F417" s="6" t="n">
        <v>2450</v>
      </c>
      <c r="G417" s="5" t="n">
        <v>87132800000</v>
      </c>
      <c r="H417" s="4" t="n">
        <f aca="false">IFERROR(IF(AND(VLOOKUP($B417,Ref_Acuerdos!$A:$E,2,FALSE())="FTA",$A417&gt;=VLOOKUP($B417,Ref_Acuerdos!$A:$E,3,FALSE())),1,0),0)</f>
        <v>0</v>
      </c>
      <c r="I417" s="4" t="n">
        <f aca="false">IFERROR(IF(AND(VLOOKUP($B417,Ref_Acuerdos!$A:$E,2,FALSE())="PTA",$A417&gt;=VLOOKUP($B417,Ref_Acuerdos!$A:$E,3,FALSE())),1,0),0)</f>
        <v>1</v>
      </c>
      <c r="J417" s="7" t="n">
        <f aca="false">IFERROR(IF($A417&gt;=VLOOKUP($B417,Ref_Acuerdos!$A:$E,3,FALSE()),VLOOKUP($B417,Ref_Acuerdos!$A:$E,4,FALSE()),""),"")</f>
        <v>10</v>
      </c>
      <c r="K417" s="4" t="str">
        <f aca="false">IFERROR(IF($A417&gt;=VLOOKUP($B417,Ref_Acuerdos!$A:$E,3,FALSE()),VLOOKUP($B417,Ref_Acuerdos!$A:$E,5,FALSE()),"Sin FTA/PTA vigente ese año - arancel NMF"),"Sin FTA/PTA identificado - arancel NMF")</f>
        <v>ALADI - Acuerdo de Alcance Parcial (preferencia limitada, tarifa referencial)</v>
      </c>
    </row>
    <row r="418" customFormat="false" ht="15" hidden="false" customHeight="false" outlineLevel="0" collapsed="false">
      <c r="A418" s="2" t="n">
        <v>2015</v>
      </c>
      <c r="B418" s="2" t="s">
        <v>86</v>
      </c>
      <c r="C418" s="4" t="str">
        <f aca="false">IFERROR(VLOOKUP($B418,Ref_Continente!$A:$B,2,FALSE()),"Sin clasificar")</f>
        <v>North America</v>
      </c>
      <c r="D418" s="5" t="n">
        <v>24180</v>
      </c>
      <c r="E418" s="6" t="n">
        <v>3974</v>
      </c>
      <c r="F418" s="6" t="n">
        <v>1020</v>
      </c>
      <c r="G418" s="5" t="n">
        <v>55767806073.18</v>
      </c>
      <c r="H418" s="4" t="n">
        <f aca="false">IFERROR(IF(AND(VLOOKUP($B418,Ref_Acuerdos!$A:$E,2,FALSE())="FTA",$A418&gt;=VLOOKUP($B418,Ref_Acuerdos!$A:$E,3,FALSE())),1,0),0)</f>
        <v>0</v>
      </c>
      <c r="I418" s="4" t="n">
        <f aca="false">IFERROR(IF(AND(VLOOKUP($B418,Ref_Acuerdos!$A:$E,2,FALSE())="PTA",$A418&gt;=VLOOKUP($B418,Ref_Acuerdos!$A:$E,3,FALSE())),1,0),0)</f>
        <v>1</v>
      </c>
      <c r="J418" s="7" t="n">
        <f aca="false">IFERROR(IF($A418&gt;=VLOOKUP($B418,Ref_Acuerdos!$A:$E,3,FALSE()),VLOOKUP($B418,Ref_Acuerdos!$A:$E,4,FALSE()),""),"")</f>
        <v>10</v>
      </c>
      <c r="K418" s="4" t="str">
        <f aca="false">IFERROR(IF($A418&gt;=VLOOKUP($B418,Ref_Acuerdos!$A:$E,3,FALSE()),VLOOKUP($B418,Ref_Acuerdos!$A:$E,5,FALSE()),"Sin FTA/PTA vigente ese año - arancel NMF"),"Sin FTA/PTA identificado - arancel NMF")</f>
        <v>ALADI - Acuerdo de Alcance Parcial (preferencia limitada, tarifa referencial)</v>
      </c>
    </row>
    <row r="419" customFormat="false" ht="15" hidden="false" customHeight="false" outlineLevel="0" collapsed="false">
      <c r="A419" s="2" t="n">
        <v>2015</v>
      </c>
      <c r="B419" s="2" t="s">
        <v>42</v>
      </c>
      <c r="C419" s="4" t="str">
        <f aca="false">IFERROR(VLOOKUP($B419,Ref_Continente!$A:$B,2,FALSE()),"Sin clasificar")</f>
        <v>Europe</v>
      </c>
      <c r="D419" s="5" t="n">
        <v>20152</v>
      </c>
      <c r="E419" s="6" t="n">
        <v>2689</v>
      </c>
      <c r="F419" s="6" t="n">
        <v>9150</v>
      </c>
      <c r="G419" s="5" t="n">
        <v>2442483452642.5</v>
      </c>
      <c r="H419" s="4" t="n">
        <f aca="false">IFERROR(IF(AND(VLOOKUP($B419,Ref_Acuerdos!$A:$E,2,FALSE())="FTA",$A419&gt;=VLOOKUP($B419,Ref_Acuerdos!$A:$E,3,FALSE())),1,0),0)</f>
        <v>0</v>
      </c>
      <c r="I419" s="4" t="n">
        <f aca="false">IFERROR(IF(AND(VLOOKUP($B419,Ref_Acuerdos!$A:$E,2,FALSE())="PTA",$A419&gt;=VLOOKUP($B419,Ref_Acuerdos!$A:$E,3,FALSE())),1,0),0)</f>
        <v>0</v>
      </c>
      <c r="J419" s="7" t="str">
        <f aca="false">IFERROR(IF($A419&gt;=VLOOKUP($B419,Ref_Acuerdos!$A:$E,3,FALSE()),VLOOKUP($B419,Ref_Acuerdos!$A:$E,4,FALSE()),""),"")</f>
        <v/>
      </c>
      <c r="K419" s="4" t="str">
        <f aca="false">IFERROR(IF($A419&gt;=VLOOKUP($B419,Ref_Acuerdos!$A:$E,3,FALSE()),VLOOKUP($B419,Ref_Acuerdos!$A:$E,5,FALSE()),"Sin FTA/PTA vigente ese año - arancel NMF"),"Sin FTA/PTA identificado - arancel NMF")</f>
        <v>Sin FTA/PTA vigente ese año - arancel NMF</v>
      </c>
    </row>
    <row r="420" customFormat="false" ht="15" hidden="false" customHeight="false" outlineLevel="0" collapsed="false">
      <c r="A420" s="2" t="n">
        <v>2015</v>
      </c>
      <c r="B420" s="2" t="s">
        <v>80</v>
      </c>
      <c r="C420" s="4" t="str">
        <f aca="false">IFERROR(VLOOKUP($B420,Ref_Continente!$A:$B,2,FALSE()),"Sin clasificar")</f>
        <v>North America</v>
      </c>
      <c r="D420" s="5" t="n">
        <v>18874</v>
      </c>
      <c r="E420" s="6" t="n">
        <v>4007</v>
      </c>
      <c r="F420" s="6" t="n">
        <v>1730</v>
      </c>
      <c r="G420" s="5" t="n">
        <v>12756696261.07</v>
      </c>
      <c r="H420" s="4" t="n">
        <f aca="false">IFERROR(IF(AND(VLOOKUP($B420,Ref_Acuerdos!$A:$E,2,FALSE())="FTA",$A420&gt;=VLOOKUP($B420,Ref_Acuerdos!$A:$E,3,FALSE())),1,0),0)</f>
        <v>0</v>
      </c>
      <c r="I420" s="4" t="n">
        <f aca="false">IFERROR(IF(AND(VLOOKUP($B420,Ref_Acuerdos!$A:$E,2,FALSE())="PTA",$A420&gt;=VLOOKUP($B420,Ref_Acuerdos!$A:$E,3,FALSE())),1,0),0)</f>
        <v>1</v>
      </c>
      <c r="J420" s="7" t="n">
        <f aca="false">IFERROR(IF($A420&gt;=VLOOKUP($B420,Ref_Acuerdos!$A:$E,3,FALSE()),VLOOKUP($B420,Ref_Acuerdos!$A:$E,4,FALSE()),""),"")</f>
        <v>10</v>
      </c>
      <c r="K420" s="4" t="str">
        <f aca="false">IFERROR(IF($A420&gt;=VLOOKUP($B420,Ref_Acuerdos!$A:$E,3,FALSE()),VLOOKUP($B420,Ref_Acuerdos!$A:$E,5,FALSE()),"Sin FTA/PTA vigente ese año - arancel NMF"),"Sin FTA/PTA identificado - arancel NMF")</f>
        <v>ALADI - Acuerdo de Alcance Parcial (preferencia limitada, tarifa referencial)</v>
      </c>
    </row>
    <row r="421" customFormat="false" ht="15" hidden="false" customHeight="false" outlineLevel="0" collapsed="false">
      <c r="A421" s="2" t="n">
        <v>2015</v>
      </c>
      <c r="B421" s="2" t="s">
        <v>66</v>
      </c>
      <c r="C421" s="4" t="str">
        <f aca="false">IFERROR(VLOOKUP($B421,Ref_Continente!$A:$B,2,FALSE()),"Sin clasificar")</f>
        <v>Europe</v>
      </c>
      <c r="D421" s="5" t="n">
        <v>15015</v>
      </c>
      <c r="E421" s="6" t="n">
        <v>3957</v>
      </c>
      <c r="F421" s="6" t="n">
        <v>10400</v>
      </c>
      <c r="G421" s="5" t="n">
        <v>26344565876.89</v>
      </c>
      <c r="H421" s="4" t="n">
        <f aca="false">IFERROR(IF(AND(VLOOKUP($B421,Ref_Acuerdos!$A:$E,2,FALSE())="FTA",$A421&gt;=VLOOKUP($B421,Ref_Acuerdos!$A:$E,3,FALSE())),1,0),0)</f>
        <v>0</v>
      </c>
      <c r="I421" s="4" t="n">
        <f aca="false">IFERROR(IF(AND(VLOOKUP($B421,Ref_Acuerdos!$A:$E,2,FALSE())="PTA",$A421&gt;=VLOOKUP($B421,Ref_Acuerdos!$A:$E,3,FALSE())),1,0),0)</f>
        <v>0</v>
      </c>
      <c r="J421" s="7" t="str">
        <f aca="false">IFERROR(IF($A421&gt;=VLOOKUP($B421,Ref_Acuerdos!$A:$E,3,FALSE()),VLOOKUP($B421,Ref_Acuerdos!$A:$E,4,FALSE()),""),"")</f>
        <v/>
      </c>
      <c r="K421" s="4" t="str">
        <f aca="false">IFERROR(IF($A421&gt;=VLOOKUP($B421,Ref_Acuerdos!$A:$E,3,FALSE()),VLOOKUP($B421,Ref_Acuerdos!$A:$E,5,FALSE()),"Sin FTA/PTA vigente ese año - arancel NMF"),"Sin FTA/PTA identificado - arancel NMF")</f>
        <v>Sin FTA/PTA vigente ese año - arancel NMF</v>
      </c>
    </row>
    <row r="422" customFormat="false" ht="15" hidden="false" customHeight="false" outlineLevel="0" collapsed="false">
      <c r="A422" s="2" t="n">
        <v>2015</v>
      </c>
      <c r="B422" s="2" t="s">
        <v>94</v>
      </c>
      <c r="C422" s="4" t="str">
        <f aca="false">IFERROR(VLOOKUP($B422,Ref_Continente!$A:$B,2,FALSE()),"Sin clasificar")</f>
        <v>Europe</v>
      </c>
      <c r="D422" s="5" t="n">
        <v>14974</v>
      </c>
      <c r="E422" s="6" t="n">
        <v>6883</v>
      </c>
      <c r="F422" s="6" t="n">
        <v>11000</v>
      </c>
      <c r="G422" s="5" t="n">
        <v>7797667196.73</v>
      </c>
      <c r="H422" s="4" t="n">
        <f aca="false">IFERROR(IF(AND(VLOOKUP($B422,Ref_Acuerdos!$A:$E,2,FALSE())="FTA",$A422&gt;=VLOOKUP($B422,Ref_Acuerdos!$A:$E,3,FALSE())),1,0),0)</f>
        <v>0</v>
      </c>
      <c r="I422" s="4" t="n">
        <f aca="false">IFERROR(IF(AND(VLOOKUP($B422,Ref_Acuerdos!$A:$E,2,FALSE())="PTA",$A422&gt;=VLOOKUP($B422,Ref_Acuerdos!$A:$E,3,FALSE())),1,0),0)</f>
        <v>0</v>
      </c>
      <c r="J422" s="7" t="str">
        <f aca="false">IFERROR(IF($A422&gt;=VLOOKUP($B422,Ref_Acuerdos!$A:$E,3,FALSE()),VLOOKUP($B422,Ref_Acuerdos!$A:$E,4,FALSE()),""),"")</f>
        <v/>
      </c>
      <c r="K422" s="4" t="str">
        <f aca="false">IFERROR(IF($A422&gt;=VLOOKUP($B422,Ref_Acuerdos!$A:$E,3,FALSE()),VLOOKUP($B422,Ref_Acuerdos!$A:$E,5,FALSE()),"Sin FTA/PTA vigente ese año - arancel NMF"),"Sin FTA/PTA identificado - arancel NMF")</f>
        <v>Sin FTA/PTA identificado - arancel NMF</v>
      </c>
    </row>
    <row r="423" customFormat="false" ht="15" hidden="false" customHeight="false" outlineLevel="0" collapsed="false">
      <c r="A423" s="2" t="n">
        <v>2015</v>
      </c>
      <c r="B423" s="2" t="s">
        <v>17</v>
      </c>
      <c r="C423" s="4" t="str">
        <f aca="false">IFERROR(VLOOKUP($B423,Ref_Continente!$A:$B,2,FALSE()),"Sin clasificar")</f>
        <v>North America</v>
      </c>
      <c r="D423" s="5" t="n">
        <v>14351</v>
      </c>
      <c r="E423" s="6" t="n">
        <v>2368</v>
      </c>
      <c r="F423" s="6"/>
      <c r="G423" s="5"/>
      <c r="H423" s="4" t="n">
        <f aca="false">IFERROR(IF(AND(VLOOKUP($B423,Ref_Acuerdos!$A:$E,2,FALSE())="FTA",$A423&gt;=VLOOKUP($B423,Ref_Acuerdos!$A:$E,3,FALSE())),1,0),0)</f>
        <v>0</v>
      </c>
      <c r="I423" s="4" t="n">
        <f aca="false">IFERROR(IF(AND(VLOOKUP($B423,Ref_Acuerdos!$A:$E,2,FALSE())="PTA",$A423&gt;=VLOOKUP($B423,Ref_Acuerdos!$A:$E,3,FALSE())),1,0),0)</f>
        <v>0</v>
      </c>
      <c r="J423" s="7" t="str">
        <f aca="false">IFERROR(IF($A423&gt;=VLOOKUP($B423,Ref_Acuerdos!$A:$E,3,FALSE()),VLOOKUP($B423,Ref_Acuerdos!$A:$E,4,FALSE()),""),"")</f>
        <v/>
      </c>
      <c r="K423" s="4" t="str">
        <f aca="false">IFERROR(IF($A423&gt;=VLOOKUP($B423,Ref_Acuerdos!$A:$E,3,FALSE()),VLOOKUP($B423,Ref_Acuerdos!$A:$E,5,FALSE()),"Sin FTA/PTA vigente ese año - arancel NMF"),"Sin FTA/PTA identificado - arancel NMF")</f>
        <v>Sin FTA/PTA identificado - arancel NMF</v>
      </c>
    </row>
    <row r="424" customFormat="false" ht="15" hidden="false" customHeight="false" outlineLevel="0" collapsed="false">
      <c r="A424" s="2" t="n">
        <v>2015</v>
      </c>
      <c r="B424" s="2" t="s">
        <v>28</v>
      </c>
      <c r="C424" s="4" t="str">
        <f aca="false">IFERROR(VLOOKUP($B424,Ref_Continente!$A:$B,2,FALSE()),"Sin clasificar")</f>
        <v>Asia</v>
      </c>
      <c r="D424" s="5" t="n">
        <v>12640</v>
      </c>
      <c r="E424" s="6" t="n">
        <v>480</v>
      </c>
      <c r="F424" s="6" t="n">
        <v>17700</v>
      </c>
      <c r="G424" s="5" t="n">
        <v>309385622601.35</v>
      </c>
      <c r="H424" s="4" t="n">
        <f aca="false">IFERROR(IF(AND(VLOOKUP($B424,Ref_Acuerdos!$A:$E,2,FALSE())="FTA",$A424&gt;=VLOOKUP($B424,Ref_Acuerdos!$A:$E,3,FALSE())),1,0),0)</f>
        <v>0</v>
      </c>
      <c r="I424" s="4" t="n">
        <f aca="false">IFERROR(IF(AND(VLOOKUP($B424,Ref_Acuerdos!$A:$E,2,FALSE())="PTA",$A424&gt;=VLOOKUP($B424,Ref_Acuerdos!$A:$E,3,FALSE())),1,0),0)</f>
        <v>0</v>
      </c>
      <c r="J424" s="7" t="str">
        <f aca="false">IFERROR(IF($A424&gt;=VLOOKUP($B424,Ref_Acuerdos!$A:$E,3,FALSE()),VLOOKUP($B424,Ref_Acuerdos!$A:$E,4,FALSE()),""),"")</f>
        <v/>
      </c>
      <c r="K424" s="4" t="str">
        <f aca="false">IFERROR(IF($A424&gt;=VLOOKUP($B424,Ref_Acuerdos!$A:$E,3,FALSE()),VLOOKUP($B424,Ref_Acuerdos!$A:$E,5,FALSE()),"Sin FTA/PTA vigente ese año - arancel NMF"),"Sin FTA/PTA identificado - arancel NMF")</f>
        <v>Sin FTA/PTA identificado - arancel NMF</v>
      </c>
    </row>
    <row r="425" customFormat="false" ht="15" hidden="false" customHeight="false" outlineLevel="0" collapsed="false">
      <c r="A425" s="2" t="n">
        <v>2015</v>
      </c>
      <c r="B425" s="2" t="s">
        <v>111</v>
      </c>
      <c r="C425" s="4" t="str">
        <f aca="false">IFERROR(VLOOKUP($B425,Ref_Continente!$A:$B,2,FALSE()),"Sin clasificar")</f>
        <v>North America</v>
      </c>
      <c r="D425" s="5" t="n">
        <v>10476</v>
      </c>
      <c r="E425" s="6" t="n">
        <v>3143</v>
      </c>
      <c r="F425" s="6" t="n">
        <v>2530</v>
      </c>
      <c r="G425" s="5" t="n">
        <v>26841141793.21</v>
      </c>
      <c r="H425" s="4" t="n">
        <f aca="false">IFERROR(IF(AND(VLOOKUP($B425,Ref_Acuerdos!$A:$E,2,FALSE())="FTA",$A425&gt;=VLOOKUP($B425,Ref_Acuerdos!$A:$E,3,FALSE())),1,0),0)</f>
        <v>0</v>
      </c>
      <c r="I425" s="4" t="n">
        <f aca="false">IFERROR(IF(AND(VLOOKUP($B425,Ref_Acuerdos!$A:$E,2,FALSE())="PTA",$A425&gt;=VLOOKUP($B425,Ref_Acuerdos!$A:$E,3,FALSE())),1,0),0)</f>
        <v>0</v>
      </c>
      <c r="J425" s="7" t="str">
        <f aca="false">IFERROR(IF($A425&gt;=VLOOKUP($B425,Ref_Acuerdos!$A:$E,3,FALSE()),VLOOKUP($B425,Ref_Acuerdos!$A:$E,4,FALSE()),""),"")</f>
        <v/>
      </c>
      <c r="K425" s="4" t="str">
        <f aca="false">IFERROR(IF($A425&gt;=VLOOKUP($B425,Ref_Acuerdos!$A:$E,3,FALSE()),VLOOKUP($B425,Ref_Acuerdos!$A:$E,5,FALSE()),"Sin FTA/PTA vigente ese año - arancel NMF"),"Sin FTA/PTA identificado - arancel NMF")</f>
        <v>Sin FTA/PTA identificado - arancel NMF</v>
      </c>
    </row>
    <row r="426" customFormat="false" ht="15" hidden="false" customHeight="false" outlineLevel="0" collapsed="false">
      <c r="A426" s="2" t="n">
        <v>2015</v>
      </c>
      <c r="B426" s="2" t="s">
        <v>71</v>
      </c>
      <c r="C426" s="4" t="str">
        <f aca="false">IFERROR(VLOOKUP($B426,Ref_Continente!$A:$B,2,FALSE()),"Sin clasificar")</f>
        <v>Asia</v>
      </c>
      <c r="D426" s="5" t="n">
        <v>9466</v>
      </c>
      <c r="E426" s="6" t="n">
        <v>3137</v>
      </c>
      <c r="F426" s="6" t="n">
        <v>17100</v>
      </c>
      <c r="G426" s="5" t="n">
        <v>4129505319.13</v>
      </c>
      <c r="H426" s="4" t="n">
        <f aca="false">IFERROR(IF(AND(VLOOKUP($B426,Ref_Acuerdos!$A:$E,2,FALSE())="FTA",$A426&gt;=VLOOKUP($B426,Ref_Acuerdos!$A:$E,3,FALSE())),1,0),0)</f>
        <v>0</v>
      </c>
      <c r="I426" s="4" t="n">
        <f aca="false">IFERROR(IF(AND(VLOOKUP($B426,Ref_Acuerdos!$A:$E,2,FALSE())="PTA",$A426&gt;=VLOOKUP($B426,Ref_Acuerdos!$A:$E,3,FALSE())),1,0),0)</f>
        <v>0</v>
      </c>
      <c r="J426" s="7" t="str">
        <f aca="false">IFERROR(IF($A426&gt;=VLOOKUP($B426,Ref_Acuerdos!$A:$E,3,FALSE()),VLOOKUP($B426,Ref_Acuerdos!$A:$E,4,FALSE()),""),"")</f>
        <v/>
      </c>
      <c r="K426" s="4" t="str">
        <f aca="false">IFERROR(IF($A426&gt;=VLOOKUP($B426,Ref_Acuerdos!$A:$E,3,FALSE()),VLOOKUP($B426,Ref_Acuerdos!$A:$E,5,FALSE()),"Sin FTA/PTA vigente ese año - arancel NMF"),"Sin FTA/PTA identificado - arancel NMF")</f>
        <v>Sin FTA/PTA identificado - arancel NMF</v>
      </c>
    </row>
    <row r="427" customFormat="false" ht="15" hidden="false" customHeight="false" outlineLevel="0" collapsed="false">
      <c r="A427" s="2" t="n">
        <v>2015</v>
      </c>
      <c r="B427" s="2" t="s">
        <v>64</v>
      </c>
      <c r="C427" s="4" t="str">
        <f aca="false">IFERROR(VLOOKUP($B427,Ref_Continente!$A:$B,2,FALSE()),"Sin clasificar")</f>
        <v>Asia</v>
      </c>
      <c r="D427" s="5" t="n">
        <v>8251</v>
      </c>
      <c r="E427" s="6" t="n">
        <v>1875</v>
      </c>
      <c r="F427" s="6" t="n">
        <v>13500</v>
      </c>
      <c r="G427" s="5" t="n">
        <v>114585555688.51</v>
      </c>
      <c r="H427" s="4" t="n">
        <f aca="false">IFERROR(IF(AND(VLOOKUP($B427,Ref_Acuerdos!$A:$E,2,FALSE())="FTA",$A427&gt;=VLOOKUP($B427,Ref_Acuerdos!$A:$E,3,FALSE())),1,0),0)</f>
        <v>0</v>
      </c>
      <c r="I427" s="4" t="n">
        <f aca="false">IFERROR(IF(AND(VLOOKUP($B427,Ref_Acuerdos!$A:$E,2,FALSE())="PTA",$A427&gt;=VLOOKUP($B427,Ref_Acuerdos!$A:$E,3,FALSE())),1,0),0)</f>
        <v>0</v>
      </c>
      <c r="J427" s="7" t="str">
        <f aca="false">IFERROR(IF($A427&gt;=VLOOKUP($B427,Ref_Acuerdos!$A:$E,3,FALSE()),VLOOKUP($B427,Ref_Acuerdos!$A:$E,4,FALSE()),""),"")</f>
        <v/>
      </c>
      <c r="K427" s="4" t="str">
        <f aca="false">IFERROR(IF($A427&gt;=VLOOKUP($B427,Ref_Acuerdos!$A:$E,3,FALSE()),VLOOKUP($B427,Ref_Acuerdos!$A:$E,5,FALSE()),"Sin FTA/PTA vigente ese año - arancel NMF"),"Sin FTA/PTA identificado - arancel NMF")</f>
        <v>Sin FTA/PTA identificado - arancel NMF</v>
      </c>
    </row>
    <row r="428" customFormat="false" ht="15" hidden="false" customHeight="false" outlineLevel="0" collapsed="false">
      <c r="A428" s="2" t="n">
        <v>2015</v>
      </c>
      <c r="B428" s="2" t="s">
        <v>22</v>
      </c>
      <c r="C428" s="4" t="str">
        <f aca="false">IFERROR(VLOOKUP($B428,Ref_Continente!$A:$B,2,FALSE()),"Sin clasificar")</f>
        <v>Europe</v>
      </c>
      <c r="D428" s="5" t="n">
        <v>7360</v>
      </c>
      <c r="E428" s="6" t="n">
        <v>1251</v>
      </c>
      <c r="F428" s="6" t="n">
        <v>10500</v>
      </c>
      <c r="G428" s="5"/>
      <c r="H428" s="4" t="n">
        <f aca="false">IFERROR(IF(AND(VLOOKUP($B428,Ref_Acuerdos!$A:$E,2,FALSE())="FTA",$A428&gt;=VLOOKUP($B428,Ref_Acuerdos!$A:$E,3,FALSE())),1,0),0)</f>
        <v>0</v>
      </c>
      <c r="I428" s="4" t="n">
        <f aca="false">IFERROR(IF(AND(VLOOKUP($B428,Ref_Acuerdos!$A:$E,2,FALSE())="PTA",$A428&gt;=VLOOKUP($B428,Ref_Acuerdos!$A:$E,3,FALSE())),1,0),0)</f>
        <v>0</v>
      </c>
      <c r="J428" s="7" t="str">
        <f aca="false">IFERROR(IF($A428&gt;=VLOOKUP($B428,Ref_Acuerdos!$A:$E,3,FALSE()),VLOOKUP($B428,Ref_Acuerdos!$A:$E,4,FALSE()),""),"")</f>
        <v/>
      </c>
      <c r="K428" s="4" t="str">
        <f aca="false">IFERROR(IF($A428&gt;=VLOOKUP($B428,Ref_Acuerdos!$A:$E,3,FALSE()),VLOOKUP($B428,Ref_Acuerdos!$A:$E,5,FALSE()),"Sin FTA/PTA vigente ese año - arancel NMF"),"Sin FTA/PTA identificado - arancel NMF")</f>
        <v>Sin FTA/PTA identificado - arancel NMF</v>
      </c>
    </row>
    <row r="429" customFormat="false" ht="15" hidden="false" customHeight="false" outlineLevel="0" collapsed="false">
      <c r="A429" s="2" t="n">
        <v>2015</v>
      </c>
      <c r="B429" s="2" t="s">
        <v>65</v>
      </c>
      <c r="C429" s="4" t="str">
        <f aca="false">IFERROR(VLOOKUP($B429,Ref_Continente!$A:$B,2,FALSE()),"Sin clasificar")</f>
        <v>Asia</v>
      </c>
      <c r="D429" s="5" t="n">
        <v>6948</v>
      </c>
      <c r="E429" s="6" t="n">
        <v>2664</v>
      </c>
      <c r="F429" s="6" t="n">
        <v>14300</v>
      </c>
      <c r="G429" s="5"/>
      <c r="H429" s="4" t="n">
        <f aca="false">IFERROR(IF(AND(VLOOKUP($B429,Ref_Acuerdos!$A:$E,2,FALSE())="FTA",$A429&gt;=VLOOKUP($B429,Ref_Acuerdos!$A:$E,3,FALSE())),1,0),0)</f>
        <v>0</v>
      </c>
      <c r="I429" s="4" t="n">
        <f aca="false">IFERROR(IF(AND(VLOOKUP($B429,Ref_Acuerdos!$A:$E,2,FALSE())="PTA",$A429&gt;=VLOOKUP($B429,Ref_Acuerdos!$A:$E,3,FALSE())),1,0),0)</f>
        <v>0</v>
      </c>
      <c r="J429" s="7" t="str">
        <f aca="false">IFERROR(IF($A429&gt;=VLOOKUP($B429,Ref_Acuerdos!$A:$E,3,FALSE()),VLOOKUP($B429,Ref_Acuerdos!$A:$E,4,FALSE()),""),"")</f>
        <v/>
      </c>
      <c r="K429" s="4" t="str">
        <f aca="false">IFERROR(IF($A429&gt;=VLOOKUP($B429,Ref_Acuerdos!$A:$E,3,FALSE()),VLOOKUP($B429,Ref_Acuerdos!$A:$E,5,FALSE()),"Sin FTA/PTA vigente ese año - arancel NMF"),"Sin FTA/PTA identificado - arancel NMF")</f>
        <v>Sin FTA/PTA identificado - arancel NMF</v>
      </c>
    </row>
    <row r="430" customFormat="false" ht="15" hidden="false" customHeight="false" outlineLevel="0" collapsed="false">
      <c r="A430" s="2" t="n">
        <v>2015</v>
      </c>
      <c r="B430" s="2" t="s">
        <v>117</v>
      </c>
      <c r="C430" s="4" t="str">
        <f aca="false">IFERROR(VLOOKUP($B430,Ref_Continente!$A:$B,2,FALSE()),"Sin clasificar")</f>
        <v>Europe</v>
      </c>
      <c r="D430" s="5" t="n">
        <v>6175</v>
      </c>
      <c r="E430" s="6" t="n">
        <v>1099</v>
      </c>
      <c r="F430" s="6" t="n">
        <v>9200</v>
      </c>
      <c r="G430" s="5" t="n">
        <v>2945579890258.46</v>
      </c>
      <c r="H430" s="4" t="n">
        <f aca="false">IFERROR(IF(AND(VLOOKUP($B430,Ref_Acuerdos!$A:$E,2,FALSE())="FTA",$A430&gt;=VLOOKUP($B430,Ref_Acuerdos!$A:$E,3,FALSE())),1,0),0)</f>
        <v>0</v>
      </c>
      <c r="I430" s="4" t="n">
        <f aca="false">IFERROR(IF(AND(VLOOKUP($B430,Ref_Acuerdos!$A:$E,2,FALSE())="PTA",$A430&gt;=VLOOKUP($B430,Ref_Acuerdos!$A:$E,3,FALSE())),1,0),0)</f>
        <v>0</v>
      </c>
      <c r="J430" s="7" t="str">
        <f aca="false">IFERROR(IF($A430&gt;=VLOOKUP($B430,Ref_Acuerdos!$A:$E,3,FALSE()),VLOOKUP($B430,Ref_Acuerdos!$A:$E,4,FALSE()),""),"")</f>
        <v/>
      </c>
      <c r="K430" s="4" t="str">
        <f aca="false">IFERROR(IF($A430&gt;=VLOOKUP($B430,Ref_Acuerdos!$A:$E,3,FALSE()),VLOOKUP($B430,Ref_Acuerdos!$A:$E,5,FALSE()),"Sin FTA/PTA vigente ese año - arancel NMF"),"Sin FTA/PTA identificado - arancel NMF")</f>
        <v>Sin FTA/PTA vigente ese año - arancel NMF</v>
      </c>
    </row>
    <row r="431" customFormat="false" ht="15" hidden="false" customHeight="false" outlineLevel="0" collapsed="false">
      <c r="A431" s="2" t="n">
        <v>2015</v>
      </c>
      <c r="B431" s="2" t="s">
        <v>16</v>
      </c>
      <c r="C431" s="4" t="str">
        <f aca="false">IFERROR(VLOOKUP($B431,Ref_Continente!$A:$B,2,FALSE()),"Sin clasificar")</f>
        <v>Asia</v>
      </c>
      <c r="D431" s="5" t="n">
        <v>6110</v>
      </c>
      <c r="E431" s="6" t="n">
        <v>1551</v>
      </c>
      <c r="F431" s="6" t="n">
        <v>13100</v>
      </c>
      <c r="G431" s="5" t="n">
        <v>53076235354.75</v>
      </c>
      <c r="H431" s="4" t="n">
        <f aca="false">IFERROR(IF(AND(VLOOKUP($B431,Ref_Acuerdos!$A:$E,2,FALSE())="FTA",$A431&gt;=VLOOKUP($B431,Ref_Acuerdos!$A:$E,3,FALSE())),1,0),0)</f>
        <v>0</v>
      </c>
      <c r="I431" s="4" t="n">
        <f aca="false">IFERROR(IF(AND(VLOOKUP($B431,Ref_Acuerdos!$A:$E,2,FALSE())="PTA",$A431&gt;=VLOOKUP($B431,Ref_Acuerdos!$A:$E,3,FALSE())),1,0),0)</f>
        <v>0</v>
      </c>
      <c r="J431" s="7" t="str">
        <f aca="false">IFERROR(IF($A431&gt;=VLOOKUP($B431,Ref_Acuerdos!$A:$E,3,FALSE()),VLOOKUP($B431,Ref_Acuerdos!$A:$E,4,FALSE()),""),"")</f>
        <v/>
      </c>
      <c r="K431" s="4" t="str">
        <f aca="false">IFERROR(IF($A431&gt;=VLOOKUP($B431,Ref_Acuerdos!$A:$E,3,FALSE()),VLOOKUP($B431,Ref_Acuerdos!$A:$E,5,FALSE()),"Sin FTA/PTA vigente ese año - arancel NMF"),"Sin FTA/PTA identificado - arancel NMF")</f>
        <v>Sin FTA/PTA identificado - arancel NMF</v>
      </c>
    </row>
    <row r="432" customFormat="false" ht="15" hidden="false" customHeight="false" outlineLevel="0" collapsed="false">
      <c r="A432" s="2" t="n">
        <v>2015</v>
      </c>
      <c r="B432" s="2" t="s">
        <v>47</v>
      </c>
      <c r="C432" s="4" t="str">
        <f aca="false">IFERROR(VLOOKUP($B432,Ref_Continente!$A:$B,2,FALSE()),"Sin clasificar")</f>
        <v>Oceania</v>
      </c>
      <c r="D432" s="5" t="n">
        <v>5543</v>
      </c>
      <c r="E432" s="6" t="n">
        <v>2378</v>
      </c>
      <c r="F432" s="6" t="n">
        <v>14200</v>
      </c>
      <c r="G432" s="5" t="n">
        <v>5799000000</v>
      </c>
      <c r="H432" s="4" t="n">
        <f aca="false">IFERROR(IF(AND(VLOOKUP($B432,Ref_Acuerdos!$A:$E,2,FALSE())="FTA",$A432&gt;=VLOOKUP($B432,Ref_Acuerdos!$A:$E,3,FALSE())),1,0),0)</f>
        <v>0</v>
      </c>
      <c r="I432" s="4" t="n">
        <f aca="false">IFERROR(IF(AND(VLOOKUP($B432,Ref_Acuerdos!$A:$E,2,FALSE())="PTA",$A432&gt;=VLOOKUP($B432,Ref_Acuerdos!$A:$E,3,FALSE())),1,0),0)</f>
        <v>0</v>
      </c>
      <c r="J432" s="7" t="str">
        <f aca="false">IFERROR(IF($A432&gt;=VLOOKUP($B432,Ref_Acuerdos!$A:$E,3,FALSE()),VLOOKUP($B432,Ref_Acuerdos!$A:$E,4,FALSE()),""),"")</f>
        <v/>
      </c>
      <c r="K432" s="4" t="str">
        <f aca="false">IFERROR(IF($A432&gt;=VLOOKUP($B432,Ref_Acuerdos!$A:$E,3,FALSE()),VLOOKUP($B432,Ref_Acuerdos!$A:$E,5,FALSE()),"Sin FTA/PTA vigente ese año - arancel NMF"),"Sin FTA/PTA identificado - arancel NMF")</f>
        <v>Sin FTA/PTA identificado - arancel NMF</v>
      </c>
    </row>
    <row r="433" customFormat="false" ht="15" hidden="false" customHeight="false" outlineLevel="0" collapsed="false">
      <c r="A433" s="2" t="n">
        <v>2015</v>
      </c>
      <c r="B433" s="2" t="s">
        <v>31</v>
      </c>
      <c r="C433" s="4" t="str">
        <f aca="false">IFERROR(VLOOKUP($B433,Ref_Continente!$A:$B,2,FALSE()),"Sin clasificar")</f>
        <v>Europe</v>
      </c>
      <c r="D433" s="5" t="n">
        <v>5457</v>
      </c>
      <c r="E433" s="6" t="n">
        <v>1127</v>
      </c>
      <c r="F433" s="6" t="n">
        <v>10400</v>
      </c>
      <c r="G433" s="5" t="n">
        <v>50998893384.83</v>
      </c>
      <c r="H433" s="4" t="n">
        <f aca="false">IFERROR(IF(AND(VLOOKUP($B433,Ref_Acuerdos!$A:$E,2,FALSE())="FTA",$A433&gt;=VLOOKUP($B433,Ref_Acuerdos!$A:$E,3,FALSE())),1,0),0)</f>
        <v>0</v>
      </c>
      <c r="I433" s="4" t="n">
        <f aca="false">IFERROR(IF(AND(VLOOKUP($B433,Ref_Acuerdos!$A:$E,2,FALSE())="PTA",$A433&gt;=VLOOKUP($B433,Ref_Acuerdos!$A:$E,3,FALSE())),1,0),0)</f>
        <v>0</v>
      </c>
      <c r="J433" s="7" t="str">
        <f aca="false">IFERROR(IF($A433&gt;=VLOOKUP($B433,Ref_Acuerdos!$A:$E,3,FALSE()),VLOOKUP($B433,Ref_Acuerdos!$A:$E,4,FALSE()),""),"")</f>
        <v/>
      </c>
      <c r="K433" s="4" t="str">
        <f aca="false">IFERROR(IF($A433&gt;=VLOOKUP($B433,Ref_Acuerdos!$A:$E,3,FALSE()),VLOOKUP($B433,Ref_Acuerdos!$A:$E,5,FALSE()),"Sin FTA/PTA vigente ese año - arancel NMF"),"Sin FTA/PTA identificado - arancel NMF")</f>
        <v>Sin FTA/PTA vigente ese año - arancel NMF</v>
      </c>
    </row>
    <row r="434" customFormat="false" ht="15" hidden="false" customHeight="false" outlineLevel="0" collapsed="false">
      <c r="A434" s="2" t="n">
        <v>2015</v>
      </c>
      <c r="B434" s="2" t="s">
        <v>112</v>
      </c>
      <c r="C434" s="4" t="str">
        <f aca="false">IFERROR(VLOOKUP($B434,Ref_Continente!$A:$B,2,FALSE()),"Sin clasificar")</f>
        <v>Asia</v>
      </c>
      <c r="D434" s="5" t="n">
        <v>4217</v>
      </c>
      <c r="E434" s="6" t="n">
        <v>845</v>
      </c>
      <c r="F434" s="6" t="n">
        <v>13800</v>
      </c>
      <c r="G434" s="5" t="n">
        <v>35799714285.71</v>
      </c>
      <c r="H434" s="4" t="n">
        <f aca="false">IFERROR(IF(AND(VLOOKUP($B434,Ref_Acuerdos!$A:$E,2,FALSE())="FTA",$A434&gt;=VLOOKUP($B434,Ref_Acuerdos!$A:$E,3,FALSE())),1,0),0)</f>
        <v>0</v>
      </c>
      <c r="I434" s="4" t="n">
        <f aca="false">IFERROR(IF(AND(VLOOKUP($B434,Ref_Acuerdos!$A:$E,2,FALSE())="PTA",$A434&gt;=VLOOKUP($B434,Ref_Acuerdos!$A:$E,3,FALSE())),1,0),0)</f>
        <v>0</v>
      </c>
      <c r="J434" s="7" t="str">
        <f aca="false">IFERROR(IF($A434&gt;=VLOOKUP($B434,Ref_Acuerdos!$A:$E,3,FALSE()),VLOOKUP($B434,Ref_Acuerdos!$A:$E,4,FALSE()),""),"")</f>
        <v/>
      </c>
      <c r="K434" s="4" t="str">
        <f aca="false">IFERROR(IF($A434&gt;=VLOOKUP($B434,Ref_Acuerdos!$A:$E,3,FALSE()),VLOOKUP($B434,Ref_Acuerdos!$A:$E,5,FALSE()),"Sin FTA/PTA vigente ese año - arancel NMF"),"Sin FTA/PTA identificado - arancel NMF")</f>
        <v>Sin FTA/PTA identificado - arancel NMF</v>
      </c>
    </row>
    <row r="435" customFormat="false" ht="15" hidden="false" customHeight="false" outlineLevel="0" collapsed="false">
      <c r="A435" s="2" t="n">
        <v>2015</v>
      </c>
      <c r="B435" s="2" t="s">
        <v>91</v>
      </c>
      <c r="C435" s="4" t="str">
        <f aca="false">IFERROR(VLOOKUP($B435,Ref_Continente!$A:$B,2,FALSE()),"Sin clasificar")</f>
        <v>Europe</v>
      </c>
      <c r="D435" s="5" t="n">
        <v>4192</v>
      </c>
      <c r="E435" s="6" t="n">
        <v>1029</v>
      </c>
      <c r="F435" s="6" t="n">
        <v>8700</v>
      </c>
      <c r="G435" s="5" t="n">
        <v>199038523119.64</v>
      </c>
      <c r="H435" s="4" t="n">
        <f aca="false">IFERROR(IF(AND(VLOOKUP($B435,Ref_Acuerdos!$A:$E,2,FALSE())="FTA",$A435&gt;=VLOOKUP($B435,Ref_Acuerdos!$A:$E,3,FALSE())),1,0),0)</f>
        <v>0</v>
      </c>
      <c r="I435" s="4" t="n">
        <f aca="false">IFERROR(IF(AND(VLOOKUP($B435,Ref_Acuerdos!$A:$E,2,FALSE())="PTA",$A435&gt;=VLOOKUP($B435,Ref_Acuerdos!$A:$E,3,FALSE())),1,0),0)</f>
        <v>0</v>
      </c>
      <c r="J435" s="7" t="str">
        <f aca="false">IFERROR(IF($A435&gt;=VLOOKUP($B435,Ref_Acuerdos!$A:$E,3,FALSE()),VLOOKUP($B435,Ref_Acuerdos!$A:$E,4,FALSE()),""),"")</f>
        <v/>
      </c>
      <c r="K435" s="4" t="str">
        <f aca="false">IFERROR(IF($A435&gt;=VLOOKUP($B435,Ref_Acuerdos!$A:$E,3,FALSE()),VLOOKUP($B435,Ref_Acuerdos!$A:$E,5,FALSE()),"Sin FTA/PTA vigente ese año - arancel NMF"),"Sin FTA/PTA identificado - arancel NMF")</f>
        <v>Sin FTA/PTA vigente ese año - arancel NMF</v>
      </c>
    </row>
    <row r="436" customFormat="false" ht="15" hidden="false" customHeight="false" outlineLevel="0" collapsed="false">
      <c r="A436" s="2" t="n">
        <v>2015</v>
      </c>
      <c r="B436" s="2" t="s">
        <v>95</v>
      </c>
      <c r="C436" s="4" t="str">
        <f aca="false">IFERROR(VLOOKUP($B436,Ref_Continente!$A:$B,2,FALSE()),"Sin clasificar")</f>
        <v>Europe</v>
      </c>
      <c r="D436" s="5" t="n">
        <v>2560</v>
      </c>
      <c r="E436" s="6" t="n">
        <v>479</v>
      </c>
      <c r="F436" s="6" t="n">
        <v>11300</v>
      </c>
      <c r="G436" s="5" t="n">
        <v>177885131240.32</v>
      </c>
      <c r="H436" s="4" t="n">
        <f aca="false">IFERROR(IF(AND(VLOOKUP($B436,Ref_Acuerdos!$A:$E,2,FALSE())="FTA",$A436&gt;=VLOOKUP($B436,Ref_Acuerdos!$A:$E,3,FALSE())),1,0),0)</f>
        <v>0</v>
      </c>
      <c r="I436" s="4" t="n">
        <f aca="false">IFERROR(IF(AND(VLOOKUP($B436,Ref_Acuerdos!$A:$E,2,FALSE())="PTA",$A436&gt;=VLOOKUP($B436,Ref_Acuerdos!$A:$E,3,FALSE())),1,0),0)</f>
        <v>0</v>
      </c>
      <c r="J436" s="7" t="str">
        <f aca="false">IFERROR(IF($A436&gt;=VLOOKUP($B436,Ref_Acuerdos!$A:$E,3,FALSE()),VLOOKUP($B436,Ref_Acuerdos!$A:$E,4,FALSE()),""),"")</f>
        <v/>
      </c>
      <c r="K436" s="4" t="str">
        <f aca="false">IFERROR(IF($A436&gt;=VLOOKUP($B436,Ref_Acuerdos!$A:$E,3,FALSE()),VLOOKUP($B436,Ref_Acuerdos!$A:$E,5,FALSE()),"Sin FTA/PTA vigente ese año - arancel NMF"),"Sin FTA/PTA identificado - arancel NMF")</f>
        <v>Sin FTA/PTA vigente ese año - arancel NMF</v>
      </c>
    </row>
    <row r="437" customFormat="false" ht="15" hidden="false" customHeight="false" outlineLevel="0" collapsed="false">
      <c r="A437" s="2" t="n">
        <v>2015</v>
      </c>
      <c r="B437" s="2" t="s">
        <v>89</v>
      </c>
      <c r="C437" s="4" t="str">
        <f aca="false">IFERROR(VLOOKUP($B437,Ref_Continente!$A:$B,2,FALSE()),"Sin clasificar")</f>
        <v>Asia</v>
      </c>
      <c r="D437" s="5" t="n">
        <v>2355</v>
      </c>
      <c r="E437" s="6" t="n">
        <v>632</v>
      </c>
      <c r="F437" s="6" t="n">
        <v>17800</v>
      </c>
      <c r="G437" s="5" t="n">
        <v>306445871242.32</v>
      </c>
      <c r="H437" s="4" t="n">
        <f aca="false">IFERROR(IF(AND(VLOOKUP($B437,Ref_Acuerdos!$A:$E,2,FALSE())="FTA",$A437&gt;=VLOOKUP($B437,Ref_Acuerdos!$A:$E,3,FALSE())),1,0),0)</f>
        <v>0</v>
      </c>
      <c r="I437" s="4" t="n">
        <f aca="false">IFERROR(IF(AND(VLOOKUP($B437,Ref_Acuerdos!$A:$E,2,FALSE())="PTA",$A437&gt;=VLOOKUP($B437,Ref_Acuerdos!$A:$E,3,FALSE())),1,0),0)</f>
        <v>0</v>
      </c>
      <c r="J437" s="7" t="str">
        <f aca="false">IFERROR(IF($A437&gt;=VLOOKUP($B437,Ref_Acuerdos!$A:$E,3,FALSE()),VLOOKUP($B437,Ref_Acuerdos!$A:$E,4,FALSE()),""),"")</f>
        <v/>
      </c>
      <c r="K437" s="4" t="str">
        <f aca="false">IFERROR(IF($A437&gt;=VLOOKUP($B437,Ref_Acuerdos!$A:$E,3,FALSE()),VLOOKUP($B437,Ref_Acuerdos!$A:$E,5,FALSE()),"Sin FTA/PTA vigente ese año - arancel NMF"),"Sin FTA/PTA identificado - arancel NMF")</f>
        <v>Sin FTA/PTA identificado - arancel NMF</v>
      </c>
    </row>
    <row r="438" customFormat="false" ht="15" hidden="false" customHeight="false" outlineLevel="0" collapsed="false">
      <c r="A438" s="2" t="n">
        <v>2015</v>
      </c>
      <c r="B438" s="2" t="s">
        <v>83</v>
      </c>
      <c r="C438" s="4" t="str">
        <f aca="false">IFERROR(VLOOKUP($B438,Ref_Continente!$A:$B,2,FALSE()),"Sin clasificar")</f>
        <v>Europe</v>
      </c>
      <c r="D438" s="5" t="n">
        <v>2213</v>
      </c>
      <c r="E438" s="6" t="n">
        <v>533</v>
      </c>
      <c r="F438" s="6" t="n">
        <v>9980</v>
      </c>
      <c r="G438" s="5" t="n">
        <v>388159512245.53</v>
      </c>
      <c r="H438" s="4" t="n">
        <f aca="false">IFERROR(IF(AND(VLOOKUP($B438,Ref_Acuerdos!$A:$E,2,FALSE())="FTA",$A438&gt;=VLOOKUP($B438,Ref_Acuerdos!$A:$E,3,FALSE())),1,0),0)</f>
        <v>0</v>
      </c>
      <c r="I438" s="4" t="n">
        <f aca="false">IFERROR(IF(AND(VLOOKUP($B438,Ref_Acuerdos!$A:$E,2,FALSE())="PTA",$A438&gt;=VLOOKUP($B438,Ref_Acuerdos!$A:$E,3,FALSE())),1,0),0)</f>
        <v>0</v>
      </c>
      <c r="J438" s="7" t="str">
        <f aca="false">IFERROR(IF($A438&gt;=VLOOKUP($B438,Ref_Acuerdos!$A:$E,3,FALSE()),VLOOKUP($B438,Ref_Acuerdos!$A:$E,4,FALSE()),""),"")</f>
        <v/>
      </c>
      <c r="K438" s="4" t="str">
        <f aca="false">IFERROR(IF($A438&gt;=VLOOKUP($B438,Ref_Acuerdos!$A:$E,3,FALSE()),VLOOKUP($B438,Ref_Acuerdos!$A:$E,5,FALSE()),"Sin FTA/PTA vigente ese año - arancel NMF"),"Sin FTA/PTA identificado - arancel NMF")</f>
        <v>Sin FTA/PTA vigente ese año - arancel NMF</v>
      </c>
    </row>
    <row r="439" customFormat="false" ht="15" hidden="false" customHeight="false" outlineLevel="0" collapsed="false">
      <c r="A439" s="2" t="n">
        <v>2015</v>
      </c>
      <c r="B439" s="2" t="s">
        <v>18</v>
      </c>
      <c r="C439" s="4" t="str">
        <f aca="false">IFERROR(VLOOKUP($B439,Ref_Continente!$A:$B,2,FALSE()),"Sin clasificar")</f>
        <v>Asia</v>
      </c>
      <c r="D439" s="5" t="n">
        <v>2015</v>
      </c>
      <c r="E439" s="6" t="n">
        <v>619</v>
      </c>
      <c r="F439" s="6" t="n">
        <v>13800</v>
      </c>
      <c r="G439" s="5" t="n">
        <v>32523297872.34</v>
      </c>
      <c r="H439" s="4" t="n">
        <f aca="false">IFERROR(IF(AND(VLOOKUP($B439,Ref_Acuerdos!$A:$E,2,FALSE())="FTA",$A439&gt;=VLOOKUP($B439,Ref_Acuerdos!$A:$E,3,FALSE())),1,0),0)</f>
        <v>0</v>
      </c>
      <c r="I439" s="4" t="n">
        <f aca="false">IFERROR(IF(AND(VLOOKUP($B439,Ref_Acuerdos!$A:$E,2,FALSE())="PTA",$A439&gt;=VLOOKUP($B439,Ref_Acuerdos!$A:$E,3,FALSE())),1,0),0)</f>
        <v>0</v>
      </c>
      <c r="J439" s="7" t="str">
        <f aca="false">IFERROR(IF($A439&gt;=VLOOKUP($B439,Ref_Acuerdos!$A:$E,3,FALSE()),VLOOKUP($B439,Ref_Acuerdos!$A:$E,4,FALSE()),""),"")</f>
        <v/>
      </c>
      <c r="K439" s="4" t="str">
        <f aca="false">IFERROR(IF($A439&gt;=VLOOKUP($B439,Ref_Acuerdos!$A:$E,3,FALSE()),VLOOKUP($B439,Ref_Acuerdos!$A:$E,5,FALSE()),"Sin FTA/PTA vigente ese año - arancel NMF"),"Sin FTA/PTA identificado - arancel NMF")</f>
        <v>Sin FTA/PTA identificado - arancel NMF</v>
      </c>
    </row>
    <row r="440" customFormat="false" ht="15" hidden="false" customHeight="false" outlineLevel="0" collapsed="false">
      <c r="A440" s="2" t="n">
        <v>2015</v>
      </c>
      <c r="B440" s="2" t="s">
        <v>88</v>
      </c>
      <c r="C440" s="4" t="str">
        <f aca="false">IFERROR(VLOOKUP($B440,Ref_Continente!$A:$B,2,FALSE()),"Sin clasificar")</f>
        <v>South America</v>
      </c>
      <c r="D440" s="5" t="n">
        <v>2000</v>
      </c>
      <c r="E440" s="6" t="n">
        <v>21</v>
      </c>
      <c r="F440" s="6" t="n">
        <v>1320</v>
      </c>
      <c r="G440" s="5" t="n">
        <v>189802976285.62</v>
      </c>
      <c r="H440" s="4" t="n">
        <f aca="false">IFERROR(IF(AND(VLOOKUP($B440,Ref_Acuerdos!$A:$E,2,FALSE())="FTA",$A440&gt;=VLOOKUP($B440,Ref_Acuerdos!$A:$E,3,FALSE())),1,0),0)</f>
        <v>0</v>
      </c>
      <c r="I440" s="4" t="n">
        <f aca="false">IFERROR(IF(AND(VLOOKUP($B440,Ref_Acuerdos!$A:$E,2,FALSE())="PTA",$A440&gt;=VLOOKUP($B440,Ref_Acuerdos!$A:$E,3,FALSE())),1,0),0)</f>
        <v>1</v>
      </c>
      <c r="J440" s="7" t="n">
        <f aca="false">IFERROR(IF($A440&gt;=VLOOKUP($B440,Ref_Acuerdos!$A:$E,3,FALSE()),VLOOKUP($B440,Ref_Acuerdos!$A:$E,4,FALSE()),""),"")</f>
        <v>0</v>
      </c>
      <c r="K440" s="4" t="str">
        <f aca="false">IFERROR(IF($A440&gt;=VLOOKUP($B440,Ref_Acuerdos!$A:$E,3,FALSE()),VLOOKUP($B440,Ref_Acuerdos!$A:$E,5,FALSE()),"Sin FTA/PTA vigente ese año - arancel NMF"),"Sin FTA/PTA identificado - arancel NMF")</f>
        <v>Comunidad Andina (CAN) - libre comercio intracomunitario</v>
      </c>
    </row>
    <row r="441" customFormat="false" ht="15" hidden="false" customHeight="false" outlineLevel="0" collapsed="false">
      <c r="A441" s="2" t="n">
        <v>2015</v>
      </c>
      <c r="B441" s="2" t="s">
        <v>24</v>
      </c>
      <c r="C441" s="4" t="str">
        <f aca="false">IFERROR(VLOOKUP($B441,Ref_Continente!$A:$B,2,FALSE()),"Sin clasificar")</f>
        <v>Europe</v>
      </c>
      <c r="D441" s="5" t="n">
        <v>1960</v>
      </c>
      <c r="E441" s="6" t="n">
        <v>742</v>
      </c>
      <c r="F441" s="6" t="n">
        <v>10870</v>
      </c>
      <c r="G441" s="5" t="n">
        <v>50765918159.15</v>
      </c>
      <c r="H441" s="4" t="n">
        <f aca="false">IFERROR(IF(AND(VLOOKUP($B441,Ref_Acuerdos!$A:$E,2,FALSE())="FTA",$A441&gt;=VLOOKUP($B441,Ref_Acuerdos!$A:$E,3,FALSE())),1,0),0)</f>
        <v>0</v>
      </c>
      <c r="I441" s="4" t="n">
        <f aca="false">IFERROR(IF(AND(VLOOKUP($B441,Ref_Acuerdos!$A:$E,2,FALSE())="PTA",$A441&gt;=VLOOKUP($B441,Ref_Acuerdos!$A:$E,3,FALSE())),1,0),0)</f>
        <v>0</v>
      </c>
      <c r="J441" s="7" t="str">
        <f aca="false">IFERROR(IF($A441&gt;=VLOOKUP($B441,Ref_Acuerdos!$A:$E,3,FALSE()),VLOOKUP($B441,Ref_Acuerdos!$A:$E,4,FALSE()),""),"")</f>
        <v/>
      </c>
      <c r="K441" s="4" t="str">
        <f aca="false">IFERROR(IF($A441&gt;=VLOOKUP($B441,Ref_Acuerdos!$A:$E,3,FALSE()),VLOOKUP($B441,Ref_Acuerdos!$A:$E,5,FALSE()),"Sin FTA/PTA vigente ese año - arancel NMF"),"Sin FTA/PTA identificado - arancel NMF")</f>
        <v>Sin FTA/PTA vigente ese año - arancel NMF</v>
      </c>
    </row>
    <row r="442" customFormat="false" ht="15" hidden="false" customHeight="false" outlineLevel="0" collapsed="false">
      <c r="A442" s="2" t="n">
        <v>2015</v>
      </c>
      <c r="B442" s="2" t="s">
        <v>107</v>
      </c>
      <c r="C442" s="4" t="str">
        <f aca="false">IFERROR(VLOOKUP($B442,Ref_Continente!$A:$B,2,FALSE()),"Sin clasificar")</f>
        <v>Europe</v>
      </c>
      <c r="D442" s="5" t="n">
        <v>1440</v>
      </c>
      <c r="E442" s="6" t="n">
        <v>241</v>
      </c>
      <c r="F442" s="6" t="n">
        <v>10000</v>
      </c>
      <c r="G442" s="5" t="n">
        <v>501602351911.6</v>
      </c>
      <c r="H442" s="4" t="n">
        <f aca="false">IFERROR(IF(AND(VLOOKUP($B442,Ref_Acuerdos!$A:$E,2,FALSE())="FTA",$A442&gt;=VLOOKUP($B442,Ref_Acuerdos!$A:$E,3,FALSE())),1,0),0)</f>
        <v>0</v>
      </c>
      <c r="I442" s="4" t="n">
        <f aca="false">IFERROR(IF(AND(VLOOKUP($B442,Ref_Acuerdos!$A:$E,2,FALSE())="PTA",$A442&gt;=VLOOKUP($B442,Ref_Acuerdos!$A:$E,3,FALSE())),1,0),0)</f>
        <v>0</v>
      </c>
      <c r="J442" s="7" t="str">
        <f aca="false">IFERROR(IF($A442&gt;=VLOOKUP($B442,Ref_Acuerdos!$A:$E,3,FALSE()),VLOOKUP($B442,Ref_Acuerdos!$A:$E,4,FALSE()),""),"")</f>
        <v/>
      </c>
      <c r="K442" s="4" t="str">
        <f aca="false">IFERROR(IF($A442&gt;=VLOOKUP($B442,Ref_Acuerdos!$A:$E,3,FALSE()),VLOOKUP($B442,Ref_Acuerdos!$A:$E,5,FALSE()),"Sin FTA/PTA vigente ese año - arancel NMF"),"Sin FTA/PTA identificado - arancel NMF")</f>
        <v>Sin FTA/PTA vigente ese año - arancel NMF</v>
      </c>
    </row>
    <row r="443" customFormat="false" ht="15" hidden="false" customHeight="false" outlineLevel="0" collapsed="false">
      <c r="A443" s="2" t="n">
        <v>2015</v>
      </c>
      <c r="B443" s="2" t="s">
        <v>100</v>
      </c>
      <c r="C443" s="4" t="str">
        <f aca="false">IFERROR(VLOOKUP($B443,Ref_Continente!$A:$B,2,FALSE()),"Sin clasificar")</f>
        <v>Asia</v>
      </c>
      <c r="D443" s="5" t="n">
        <v>1123</v>
      </c>
      <c r="E443" s="6" t="n">
        <v>408</v>
      </c>
      <c r="F443" s="6" t="n">
        <v>13800</v>
      </c>
      <c r="G443" s="5" t="n">
        <v>693414400000</v>
      </c>
      <c r="H443" s="4" t="n">
        <f aca="false">IFERROR(IF(AND(VLOOKUP($B443,Ref_Acuerdos!$A:$E,2,FALSE())="FTA",$A443&gt;=VLOOKUP($B443,Ref_Acuerdos!$A:$E,3,FALSE())),1,0),0)</f>
        <v>0</v>
      </c>
      <c r="I443" s="4" t="n">
        <f aca="false">IFERROR(IF(AND(VLOOKUP($B443,Ref_Acuerdos!$A:$E,2,FALSE())="PTA",$A443&gt;=VLOOKUP($B443,Ref_Acuerdos!$A:$E,3,FALSE())),1,0),0)</f>
        <v>0</v>
      </c>
      <c r="J443" s="7" t="str">
        <f aca="false">IFERROR(IF($A443&gt;=VLOOKUP($B443,Ref_Acuerdos!$A:$E,3,FALSE()),VLOOKUP($B443,Ref_Acuerdos!$A:$E,4,FALSE()),""),"")</f>
        <v/>
      </c>
      <c r="K443" s="4" t="str">
        <f aca="false">IFERROR(IF($A443&gt;=VLOOKUP($B443,Ref_Acuerdos!$A:$E,3,FALSE()),VLOOKUP($B443,Ref_Acuerdos!$A:$E,5,FALSE()),"Sin FTA/PTA vigente ese año - arancel NMF"),"Sin FTA/PTA identificado - arancel NMF")</f>
        <v>Sin FTA/PTA identificado - arancel NMF</v>
      </c>
    </row>
    <row r="444" customFormat="false" ht="15" hidden="false" customHeight="false" outlineLevel="0" collapsed="false">
      <c r="A444" s="2" t="n">
        <v>2015</v>
      </c>
      <c r="B444" s="2" t="s">
        <v>40</v>
      </c>
      <c r="C444" s="4" t="str">
        <f aca="false">IFERROR(VLOOKUP($B444,Ref_Continente!$A:$B,2,FALSE()),"Sin clasificar")</f>
        <v>Europe</v>
      </c>
      <c r="D444" s="5" t="n">
        <v>997</v>
      </c>
      <c r="E444" s="6" t="n">
        <v>211</v>
      </c>
      <c r="F444" s="6" t="n">
        <v>10400</v>
      </c>
      <c r="G444" s="5" t="n">
        <v>23311847750.94</v>
      </c>
      <c r="H444" s="4" t="n">
        <f aca="false">IFERROR(IF(AND(VLOOKUP($B444,Ref_Acuerdos!$A:$E,2,FALSE())="FTA",$A444&gt;=VLOOKUP($B444,Ref_Acuerdos!$A:$E,3,FALSE())),1,0),0)</f>
        <v>0</v>
      </c>
      <c r="I444" s="4" t="n">
        <f aca="false">IFERROR(IF(AND(VLOOKUP($B444,Ref_Acuerdos!$A:$E,2,FALSE())="PTA",$A444&gt;=VLOOKUP($B444,Ref_Acuerdos!$A:$E,3,FALSE())),1,0),0)</f>
        <v>0</v>
      </c>
      <c r="J444" s="7" t="str">
        <f aca="false">IFERROR(IF($A444&gt;=VLOOKUP($B444,Ref_Acuerdos!$A:$E,3,FALSE()),VLOOKUP($B444,Ref_Acuerdos!$A:$E,4,FALSE()),""),"")</f>
        <v/>
      </c>
      <c r="K444" s="4" t="str">
        <f aca="false">IFERROR(IF($A444&gt;=VLOOKUP($B444,Ref_Acuerdos!$A:$E,3,FALSE()),VLOOKUP($B444,Ref_Acuerdos!$A:$E,5,FALSE()),"Sin FTA/PTA vigente ese año - arancel NMF"),"Sin FTA/PTA identificado - arancel NMF")</f>
        <v>Sin FTA/PTA vigente ese año - arancel NMF</v>
      </c>
    </row>
    <row r="445" customFormat="false" ht="15" hidden="false" customHeight="false" outlineLevel="0" collapsed="false">
      <c r="A445" s="2" t="n">
        <v>2015</v>
      </c>
      <c r="B445" s="2" t="s">
        <v>60</v>
      </c>
      <c r="C445" s="4" t="str">
        <f aca="false">IFERROR(VLOOKUP($B445,Ref_Continente!$A:$B,2,FALSE()),"Sin clasificar")</f>
        <v>North America</v>
      </c>
      <c r="D445" s="5" t="n">
        <v>951</v>
      </c>
      <c r="E445" s="6" t="n">
        <v>377</v>
      </c>
      <c r="F445" s="6" t="n">
        <v>1900</v>
      </c>
      <c r="G445" s="5" t="n">
        <v>14963589915.59</v>
      </c>
      <c r="H445" s="4" t="n">
        <f aca="false">IFERROR(IF(AND(VLOOKUP($B445,Ref_Acuerdos!$A:$E,2,FALSE())="FTA",$A445&gt;=VLOOKUP($B445,Ref_Acuerdos!$A:$E,3,FALSE())),1,0),0)</f>
        <v>0</v>
      </c>
      <c r="I445" s="4" t="n">
        <f aca="false">IFERROR(IF(AND(VLOOKUP($B445,Ref_Acuerdos!$A:$E,2,FALSE())="PTA",$A445&gt;=VLOOKUP($B445,Ref_Acuerdos!$A:$E,3,FALSE())),1,0),0)</f>
        <v>0</v>
      </c>
      <c r="J445" s="7" t="str">
        <f aca="false">IFERROR(IF($A445&gt;=VLOOKUP($B445,Ref_Acuerdos!$A:$E,3,FALSE()),VLOOKUP($B445,Ref_Acuerdos!$A:$E,4,FALSE()),""),"")</f>
        <v/>
      </c>
      <c r="K445" s="4" t="str">
        <f aca="false">IFERROR(IF($A445&gt;=VLOOKUP($B445,Ref_Acuerdos!$A:$E,3,FALSE()),VLOOKUP($B445,Ref_Acuerdos!$A:$E,5,FALSE()),"Sin FTA/PTA vigente ese año - arancel NMF"),"Sin FTA/PTA identificado - arancel NMF")</f>
        <v>Sin FTA/PTA identificado - arancel NMF</v>
      </c>
    </row>
    <row r="446" customFormat="false" ht="15" hidden="false" customHeight="false" outlineLevel="0" collapsed="false">
      <c r="A446" s="2" t="n">
        <v>2015</v>
      </c>
      <c r="B446" s="2" t="s">
        <v>39</v>
      </c>
      <c r="C446" s="4" t="str">
        <f aca="false">IFERROR(VLOOKUP($B446,Ref_Continente!$A:$B,2,FALSE()),"Sin clasificar")</f>
        <v>North America</v>
      </c>
      <c r="D446" s="5" t="n">
        <v>893</v>
      </c>
      <c r="E446" s="6" t="n">
        <v>148</v>
      </c>
      <c r="F446" s="6" t="n">
        <v>2000</v>
      </c>
      <c r="G446" s="5" t="n">
        <v>23438240000</v>
      </c>
      <c r="H446" s="4" t="n">
        <f aca="false">IFERROR(IF(AND(VLOOKUP($B446,Ref_Acuerdos!$A:$E,2,FALSE())="FTA",$A446&gt;=VLOOKUP($B446,Ref_Acuerdos!$A:$E,3,FALSE())),1,0),0)</f>
        <v>0</v>
      </c>
      <c r="I446" s="4" t="n">
        <f aca="false">IFERROR(IF(AND(VLOOKUP($B446,Ref_Acuerdos!$A:$E,2,FALSE())="PTA",$A446&gt;=VLOOKUP($B446,Ref_Acuerdos!$A:$E,3,FALSE())),1,0),0)</f>
        <v>0</v>
      </c>
      <c r="J446" s="7" t="str">
        <f aca="false">IFERROR(IF($A446&gt;=VLOOKUP($B446,Ref_Acuerdos!$A:$E,3,FALSE()),VLOOKUP($B446,Ref_Acuerdos!$A:$E,4,FALSE()),""),"")</f>
        <v/>
      </c>
      <c r="K446" s="4" t="str">
        <f aca="false">IFERROR(IF($A446&gt;=VLOOKUP($B446,Ref_Acuerdos!$A:$E,3,FALSE()),VLOOKUP($B446,Ref_Acuerdos!$A:$E,5,FALSE()),"Sin FTA/PTA vigente ese año - arancel NMF"),"Sin FTA/PTA identificado - arancel NMF")</f>
        <v>Sin FTA/PTA identificado - arancel NMF</v>
      </c>
    </row>
    <row r="447" customFormat="false" ht="15" hidden="false" customHeight="false" outlineLevel="0" collapsed="false">
      <c r="A447" s="2" t="n">
        <v>2015</v>
      </c>
      <c r="B447" s="2" t="s">
        <v>104</v>
      </c>
      <c r="C447" s="4" t="str">
        <f aca="false">IFERROR(VLOOKUP($B447,Ref_Continente!$A:$B,2,FALSE()),"Sin clasificar")</f>
        <v>Europe</v>
      </c>
      <c r="D447" s="5" t="n">
        <v>887</v>
      </c>
      <c r="E447" s="6" t="n">
        <v>145</v>
      </c>
      <c r="F447" s="6" t="n">
        <v>10300</v>
      </c>
      <c r="G447" s="5" t="n">
        <v>42709468274.81</v>
      </c>
      <c r="H447" s="4" t="n">
        <f aca="false">IFERROR(IF(AND(VLOOKUP($B447,Ref_Acuerdos!$A:$E,2,FALSE())="FTA",$A447&gt;=VLOOKUP($B447,Ref_Acuerdos!$A:$E,3,FALSE())),1,0),0)</f>
        <v>0</v>
      </c>
      <c r="I447" s="4" t="n">
        <f aca="false">IFERROR(IF(AND(VLOOKUP($B447,Ref_Acuerdos!$A:$E,2,FALSE())="PTA",$A447&gt;=VLOOKUP($B447,Ref_Acuerdos!$A:$E,3,FALSE())),1,0),0)</f>
        <v>0</v>
      </c>
      <c r="J447" s="7" t="str">
        <f aca="false">IFERROR(IF($A447&gt;=VLOOKUP($B447,Ref_Acuerdos!$A:$E,3,FALSE()),VLOOKUP($B447,Ref_Acuerdos!$A:$E,4,FALSE()),""),"")</f>
        <v/>
      </c>
      <c r="K447" s="4" t="str">
        <f aca="false">IFERROR(IF($A447&gt;=VLOOKUP($B447,Ref_Acuerdos!$A:$E,3,FALSE()),VLOOKUP($B447,Ref_Acuerdos!$A:$E,5,FALSE()),"Sin FTA/PTA vigente ese año - arancel NMF"),"Sin FTA/PTA identificado - arancel NMF")</f>
        <v>Sin FTA/PTA vigente ese año - arancel NMF</v>
      </c>
    </row>
    <row r="448" customFormat="false" ht="15" hidden="false" customHeight="false" outlineLevel="0" collapsed="false">
      <c r="A448" s="2" t="n">
        <v>2015</v>
      </c>
      <c r="B448" s="2" t="s">
        <v>27</v>
      </c>
      <c r="C448" s="4" t="str">
        <f aca="false">IFERROR(VLOOKUP($B448,Ref_Continente!$A:$B,2,FALSE()),"Sin clasificar")</f>
        <v>Asia</v>
      </c>
      <c r="D448" s="5" t="n">
        <v>365</v>
      </c>
      <c r="E448" s="6" t="n">
        <v>159</v>
      </c>
      <c r="F448" s="6" t="n">
        <v>17000</v>
      </c>
      <c r="G448" s="5" t="n">
        <v>11280814787468.9</v>
      </c>
      <c r="H448" s="4" t="n">
        <f aca="false">IFERROR(IF(AND(VLOOKUP($B448,Ref_Acuerdos!$A:$E,2,FALSE())="FTA",$A448&gt;=VLOOKUP($B448,Ref_Acuerdos!$A:$E,3,FALSE())),1,0),0)</f>
        <v>0</v>
      </c>
      <c r="I448" s="4" t="n">
        <f aca="false">IFERROR(IF(AND(VLOOKUP($B448,Ref_Acuerdos!$A:$E,2,FALSE())="PTA",$A448&gt;=VLOOKUP($B448,Ref_Acuerdos!$A:$E,3,FALSE())),1,0),0)</f>
        <v>0</v>
      </c>
      <c r="J448" s="7" t="str">
        <f aca="false">IFERROR(IF($A448&gt;=VLOOKUP($B448,Ref_Acuerdos!$A:$E,3,FALSE()),VLOOKUP($B448,Ref_Acuerdos!$A:$E,4,FALSE()),""),"")</f>
        <v/>
      </c>
      <c r="K448" s="4" t="str">
        <f aca="false">IFERROR(IF($A448&gt;=VLOOKUP($B448,Ref_Acuerdos!$A:$E,3,FALSE()),VLOOKUP($B448,Ref_Acuerdos!$A:$E,5,FALSE()),"Sin FTA/PTA vigente ese año - arancel NMF"),"Sin FTA/PTA identificado - arancel NMF")</f>
        <v>Sin FTA/PTA vigente ese año - arancel NMF</v>
      </c>
    </row>
    <row r="449" customFormat="false" ht="15" hidden="false" customHeight="false" outlineLevel="0" collapsed="false">
      <c r="A449" s="2" t="n">
        <v>2015</v>
      </c>
      <c r="B449" s="2" t="s">
        <v>102</v>
      </c>
      <c r="C449" s="4" t="str">
        <f aca="false">IFERROR(VLOOKUP($B449,Ref_Continente!$A:$B,2,FALSE()),"Sin clasificar")</f>
        <v>Asia</v>
      </c>
      <c r="D449" s="5" t="n">
        <v>300</v>
      </c>
      <c r="E449" s="6" t="n">
        <v>65</v>
      </c>
      <c r="F449" s="6" t="n">
        <v>18800</v>
      </c>
      <c r="G449" s="5" t="n">
        <v>307998545269.4</v>
      </c>
      <c r="H449" s="4" t="n">
        <f aca="false">IFERROR(IF(AND(VLOOKUP($B449,Ref_Acuerdos!$A:$E,2,FALSE())="FTA",$A449&gt;=VLOOKUP($B449,Ref_Acuerdos!$A:$E,3,FALSE())),1,0),0)</f>
        <v>0</v>
      </c>
      <c r="I449" s="4" t="n">
        <f aca="false">IFERROR(IF(AND(VLOOKUP($B449,Ref_Acuerdos!$A:$E,2,FALSE())="PTA",$A449&gt;=VLOOKUP($B449,Ref_Acuerdos!$A:$E,3,FALSE())),1,0),0)</f>
        <v>0</v>
      </c>
      <c r="J449" s="7" t="str">
        <f aca="false">IFERROR(IF($A449&gt;=VLOOKUP($B449,Ref_Acuerdos!$A:$E,3,FALSE()),VLOOKUP($B449,Ref_Acuerdos!$A:$E,4,FALSE()),""),"")</f>
        <v/>
      </c>
      <c r="K449" s="4" t="str">
        <f aca="false">IFERROR(IF($A449&gt;=VLOOKUP($B449,Ref_Acuerdos!$A:$E,3,FALSE()),VLOOKUP($B449,Ref_Acuerdos!$A:$E,5,FALSE()),"Sin FTA/PTA vigente ese año - arancel NMF"),"Sin FTA/PTA identificado - arancel NMF")</f>
        <v>Sin FTA/PTA identificado - arancel NMF</v>
      </c>
    </row>
    <row r="450" customFormat="false" ht="15" hidden="false" customHeight="false" outlineLevel="0" collapsed="false">
      <c r="A450" s="2" t="n">
        <v>2015</v>
      </c>
      <c r="B450" s="2" t="s">
        <v>108</v>
      </c>
      <c r="C450" s="4" t="str">
        <f aca="false">IFERROR(VLOOKUP($B450,Ref_Continente!$A:$B,2,FALSE()),"Sin clasificar")</f>
        <v>Europe</v>
      </c>
      <c r="D450" s="5" t="n">
        <v>256</v>
      </c>
      <c r="E450" s="6" t="n">
        <v>55</v>
      </c>
      <c r="F450" s="6" t="n">
        <v>9800</v>
      </c>
      <c r="G450" s="5" t="n">
        <v>694118186379.63</v>
      </c>
      <c r="H450" s="4" t="n">
        <f aca="false">IFERROR(IF(AND(VLOOKUP($B450,Ref_Acuerdos!$A:$E,2,FALSE())="FTA",$A450&gt;=VLOOKUP($B450,Ref_Acuerdos!$A:$E,3,FALSE())),1,0),0)</f>
        <v>0</v>
      </c>
      <c r="I450" s="4" t="n">
        <f aca="false">IFERROR(IF(AND(VLOOKUP($B450,Ref_Acuerdos!$A:$E,2,FALSE())="PTA",$A450&gt;=VLOOKUP($B450,Ref_Acuerdos!$A:$E,3,FALSE())),1,0),0)</f>
        <v>0</v>
      </c>
      <c r="J450" s="7" t="str">
        <f aca="false">IFERROR(IF($A450&gt;=VLOOKUP($B450,Ref_Acuerdos!$A:$E,3,FALSE()),VLOOKUP($B450,Ref_Acuerdos!$A:$E,4,FALSE()),""),"")</f>
        <v/>
      </c>
      <c r="K450" s="4" t="str">
        <f aca="false">IFERROR(IF($A450&gt;=VLOOKUP($B450,Ref_Acuerdos!$A:$E,3,FALSE()),VLOOKUP($B450,Ref_Acuerdos!$A:$E,5,FALSE()),"Sin FTA/PTA vigente ese año - arancel NMF"),"Sin FTA/PTA identificado - arancel NMF")</f>
        <v>Sin FTA/PTA vigente ese año - arancel NMF</v>
      </c>
    </row>
    <row r="451" customFormat="false" ht="15" hidden="false" customHeight="false" outlineLevel="0" collapsed="false">
      <c r="A451" s="2" t="n">
        <v>2015</v>
      </c>
      <c r="B451" s="2" t="s">
        <v>33</v>
      </c>
      <c r="C451" s="4" t="str">
        <f aca="false">IFERROR(VLOOKUP($B451,Ref_Continente!$A:$B,2,FALSE()),"Sin clasificar")</f>
        <v>North America</v>
      </c>
      <c r="D451" s="5" t="n">
        <v>104</v>
      </c>
      <c r="E451" s="6" t="n">
        <v>14</v>
      </c>
      <c r="F451" s="6" t="n">
        <v>2100</v>
      </c>
      <c r="G451" s="5"/>
      <c r="H451" s="4" t="n">
        <f aca="false">IFERROR(IF(AND(VLOOKUP($B451,Ref_Acuerdos!$A:$E,2,FALSE())="FTA",$A451&gt;=VLOOKUP($B451,Ref_Acuerdos!$A:$E,3,FALSE())),1,0),0)</f>
        <v>0</v>
      </c>
      <c r="I451" s="4" t="n">
        <f aca="false">IFERROR(IF(AND(VLOOKUP($B451,Ref_Acuerdos!$A:$E,2,FALSE())="PTA",$A451&gt;=VLOOKUP($B451,Ref_Acuerdos!$A:$E,3,FALSE())),1,0),0)</f>
        <v>0</v>
      </c>
      <c r="J451" s="7" t="str">
        <f aca="false">IFERROR(IF($A451&gt;=VLOOKUP($B451,Ref_Acuerdos!$A:$E,3,FALSE()),VLOOKUP($B451,Ref_Acuerdos!$A:$E,4,FALSE()),""),"")</f>
        <v/>
      </c>
      <c r="K451" s="4" t="str">
        <f aca="false">IFERROR(IF($A451&gt;=VLOOKUP($B451,Ref_Acuerdos!$A:$E,3,FALSE()),VLOOKUP($B451,Ref_Acuerdos!$A:$E,5,FALSE()),"Sin FTA/PTA vigente ese año - arancel NMF"),"Sin FTA/PTA identificado - arancel NMF")</f>
        <v>Sin FTA/PTA identificado - arancel NMF</v>
      </c>
    </row>
    <row r="452" customFormat="false" ht="15" hidden="false" customHeight="false" outlineLevel="0" collapsed="false">
      <c r="A452" s="2" t="n">
        <v>2015</v>
      </c>
      <c r="B452" s="2" t="s">
        <v>23</v>
      </c>
      <c r="C452" s="4" t="str">
        <f aca="false">IFERROR(VLOOKUP($B452,Ref_Continente!$A:$B,2,FALSE()),"Sin clasificar")</f>
        <v>South America</v>
      </c>
      <c r="D452" s="5" t="n">
        <v>100</v>
      </c>
      <c r="E452" s="6" t="n">
        <v>170</v>
      </c>
      <c r="F452" s="6" t="n">
        <v>4330</v>
      </c>
      <c r="G452" s="5" t="n">
        <v>1802211999456.42</v>
      </c>
      <c r="H452" s="4" t="n">
        <f aca="false">IFERROR(IF(AND(VLOOKUP($B452,Ref_Acuerdos!$A:$E,2,FALSE())="FTA",$A452&gt;=VLOOKUP($B452,Ref_Acuerdos!$A:$E,3,FALSE())),1,0),0)</f>
        <v>0</v>
      </c>
      <c r="I452" s="4" t="n">
        <f aca="false">IFERROR(IF(AND(VLOOKUP($B452,Ref_Acuerdos!$A:$E,2,FALSE())="PTA",$A452&gt;=VLOOKUP($B452,Ref_Acuerdos!$A:$E,3,FALSE())),1,0),0)</f>
        <v>1</v>
      </c>
      <c r="J452" s="7" t="n">
        <f aca="false">IFERROR(IF($A452&gt;=VLOOKUP($B452,Ref_Acuerdos!$A:$E,3,FALSE()),VLOOKUP($B452,Ref_Acuerdos!$A:$E,4,FALSE()),""),"")</f>
        <v>5</v>
      </c>
      <c r="K452" s="4" t="str">
        <f aca="false">IFERROR(IF($A452&gt;=VLOOKUP($B452,Ref_Acuerdos!$A:$E,3,FALSE()),VLOOKUP($B452,Ref_Acuerdos!$A:$E,5,FALSE()),"Sin FTA/PTA vigente ese año - arancel NMF"),"Sin FTA/PTA identificado - arancel NMF")</f>
        <v>Ecuador-Mercosur ACE 59 - preferencias parciales (tarifa referencial)</v>
      </c>
    </row>
    <row r="453" customFormat="false" ht="15" hidden="false" customHeight="false" outlineLevel="0" collapsed="false">
      <c r="A453" s="2" t="n">
        <v>2015</v>
      </c>
      <c r="B453" s="2" t="s">
        <v>29</v>
      </c>
      <c r="C453" s="4" t="str">
        <f aca="false">IFERROR(VLOOKUP($B453,Ref_Continente!$A:$B,2,FALSE()),"Sin clasificar")</f>
        <v>South America</v>
      </c>
      <c r="D453" s="5" t="n">
        <v>100</v>
      </c>
      <c r="E453" s="6" t="n">
        <v>200</v>
      </c>
      <c r="F453" s="6" t="n">
        <v>720</v>
      </c>
      <c r="G453" s="5" t="n">
        <v>293492370193.17</v>
      </c>
      <c r="H453" s="4" t="n">
        <f aca="false">IFERROR(IF(AND(VLOOKUP($B453,Ref_Acuerdos!$A:$E,2,FALSE())="FTA",$A453&gt;=VLOOKUP($B453,Ref_Acuerdos!$A:$E,3,FALSE())),1,0),0)</f>
        <v>0</v>
      </c>
      <c r="I453" s="4" t="n">
        <f aca="false">IFERROR(IF(AND(VLOOKUP($B453,Ref_Acuerdos!$A:$E,2,FALSE())="PTA",$A453&gt;=VLOOKUP($B453,Ref_Acuerdos!$A:$E,3,FALSE())),1,0),0)</f>
        <v>1</v>
      </c>
      <c r="J453" s="7" t="n">
        <f aca="false">IFERROR(IF($A453&gt;=VLOOKUP($B453,Ref_Acuerdos!$A:$E,3,FALSE()),VLOOKUP($B453,Ref_Acuerdos!$A:$E,4,FALSE()),""),"")</f>
        <v>0</v>
      </c>
      <c r="K453" s="4" t="str">
        <f aca="false">IFERROR(IF($A453&gt;=VLOOKUP($B453,Ref_Acuerdos!$A:$E,3,FALSE()),VLOOKUP($B453,Ref_Acuerdos!$A:$E,5,FALSE()),"Sin FTA/PTA vigente ese año - arancel NMF"),"Sin FTA/PTA identificado - arancel NMF")</f>
        <v>Comunidad Andina (CAN) - libre comercio intracomunitario</v>
      </c>
    </row>
    <row r="454" customFormat="false" ht="15" hidden="false" customHeight="false" outlineLevel="0" collapsed="false">
      <c r="A454" s="2" t="n">
        <v>2015</v>
      </c>
      <c r="B454" s="2" t="s">
        <v>14</v>
      </c>
      <c r="C454" s="4" t="str">
        <f aca="false">IFERROR(VLOOKUP($B454,Ref_Continente!$A:$B,2,FALSE()),"Sin clasificar")</f>
        <v>Europe</v>
      </c>
      <c r="D454" s="5" t="n">
        <v>100</v>
      </c>
      <c r="E454" s="6" t="n">
        <v>185</v>
      </c>
      <c r="F454" s="6" t="n">
        <v>10050</v>
      </c>
      <c r="G454" s="5" t="n">
        <v>379546097300.63</v>
      </c>
      <c r="H454" s="4" t="n">
        <f aca="false">IFERROR(IF(AND(VLOOKUP($B454,Ref_Acuerdos!$A:$E,2,FALSE())="FTA",$A454&gt;=VLOOKUP($B454,Ref_Acuerdos!$A:$E,3,FALSE())),1,0),0)</f>
        <v>0</v>
      </c>
      <c r="I454" s="4" t="n">
        <f aca="false">IFERROR(IF(AND(VLOOKUP($B454,Ref_Acuerdos!$A:$E,2,FALSE())="PTA",$A454&gt;=VLOOKUP($B454,Ref_Acuerdos!$A:$E,3,FALSE())),1,0),0)</f>
        <v>0</v>
      </c>
      <c r="J454" s="7" t="str">
        <f aca="false">IFERROR(IF($A454&gt;=VLOOKUP($B454,Ref_Acuerdos!$A:$E,3,FALSE()),VLOOKUP($B454,Ref_Acuerdos!$A:$E,4,FALSE()),""),"")</f>
        <v/>
      </c>
      <c r="K454" s="4" t="str">
        <f aca="false">IFERROR(IF($A454&gt;=VLOOKUP($B454,Ref_Acuerdos!$A:$E,3,FALSE()),VLOOKUP($B454,Ref_Acuerdos!$A:$E,5,FALSE()),"Sin FTA/PTA vigente ese año - arancel NMF"),"Sin FTA/PTA identificado - arancel NMF")</f>
        <v>Sin FTA/PTA vigente ese año - arancel NMF</v>
      </c>
    </row>
    <row r="455" customFormat="false" ht="15" hidden="false" customHeight="false" outlineLevel="0" collapsed="false">
      <c r="A455" s="2" t="n">
        <v>2015</v>
      </c>
      <c r="B455" s="2" t="s">
        <v>38</v>
      </c>
      <c r="C455" s="4" t="str">
        <f aca="false">IFERROR(VLOOKUP($B455,Ref_Continente!$A:$B,2,FALSE()),"Sin clasificar")</f>
        <v>Africa</v>
      </c>
      <c r="D455" s="5" t="n">
        <v>84</v>
      </c>
      <c r="E455" s="6" t="n">
        <v>25</v>
      </c>
      <c r="F455" s="6" t="n">
        <v>12200</v>
      </c>
      <c r="G455" s="5" t="n">
        <v>329366576819.41</v>
      </c>
      <c r="H455" s="4" t="n">
        <f aca="false">IFERROR(IF(AND(VLOOKUP($B455,Ref_Acuerdos!$A:$E,2,FALSE())="FTA",$A455&gt;=VLOOKUP($B455,Ref_Acuerdos!$A:$E,3,FALSE())),1,0),0)</f>
        <v>0</v>
      </c>
      <c r="I455" s="4" t="n">
        <f aca="false">IFERROR(IF(AND(VLOOKUP($B455,Ref_Acuerdos!$A:$E,2,FALSE())="PTA",$A455&gt;=VLOOKUP($B455,Ref_Acuerdos!$A:$E,3,FALSE())),1,0),0)</f>
        <v>0</v>
      </c>
      <c r="J455" s="7" t="str">
        <f aca="false">IFERROR(IF($A455&gt;=VLOOKUP($B455,Ref_Acuerdos!$A:$E,3,FALSE()),VLOOKUP($B455,Ref_Acuerdos!$A:$E,4,FALSE()),""),"")</f>
        <v/>
      </c>
      <c r="K455" s="4" t="str">
        <f aca="false">IFERROR(IF($A455&gt;=VLOOKUP($B455,Ref_Acuerdos!$A:$E,3,FALSE()),VLOOKUP($B455,Ref_Acuerdos!$A:$E,5,FALSE()),"Sin FTA/PTA vigente ese año - arancel NMF"),"Sin FTA/PTA identificado - arancel NMF")</f>
        <v>Sin FTA/PTA identificado - arancel NMF</v>
      </c>
    </row>
    <row r="456" customFormat="false" ht="15" hidden="false" customHeight="false" outlineLevel="0" collapsed="false">
      <c r="A456" s="2" t="n">
        <v>2015</v>
      </c>
      <c r="B456" s="2" t="s">
        <v>54</v>
      </c>
      <c r="C456" s="4" t="str">
        <f aca="false">IFERROR(VLOOKUP($B456,Ref_Continente!$A:$B,2,FALSE()),"Sin clasificar")</f>
        <v>Asia</v>
      </c>
      <c r="D456" s="5" t="n">
        <v>72</v>
      </c>
      <c r="E456" s="6" t="n">
        <v>19</v>
      </c>
      <c r="F456" s="6" t="n">
        <v>19300</v>
      </c>
      <c r="G456" s="5" t="n">
        <v>860854232686.21</v>
      </c>
      <c r="H456" s="4" t="n">
        <f aca="false">IFERROR(IF(AND(VLOOKUP($B456,Ref_Acuerdos!$A:$E,2,FALSE())="FTA",$A456&gt;=VLOOKUP($B456,Ref_Acuerdos!$A:$E,3,FALSE())),1,0),0)</f>
        <v>0</v>
      </c>
      <c r="I456" s="4" t="n">
        <f aca="false">IFERROR(IF(AND(VLOOKUP($B456,Ref_Acuerdos!$A:$E,2,FALSE())="PTA",$A456&gt;=VLOOKUP($B456,Ref_Acuerdos!$A:$E,3,FALSE())),1,0),0)</f>
        <v>0</v>
      </c>
      <c r="J456" s="7" t="str">
        <f aca="false">IFERROR(IF($A456&gt;=VLOOKUP($B456,Ref_Acuerdos!$A:$E,3,FALSE()),VLOOKUP($B456,Ref_Acuerdos!$A:$E,4,FALSE()),""),"")</f>
        <v/>
      </c>
      <c r="K456" s="4" t="str">
        <f aca="false">IFERROR(IF($A456&gt;=VLOOKUP($B456,Ref_Acuerdos!$A:$E,3,FALSE()),VLOOKUP($B456,Ref_Acuerdos!$A:$E,5,FALSE()),"Sin FTA/PTA vigente ese año - arancel NMF"),"Sin FTA/PTA identificado - arancel NMF")</f>
        <v>Sin FTA/PTA identificado - arancel NMF</v>
      </c>
    </row>
    <row r="457" customFormat="false" ht="15" hidden="false" customHeight="false" outlineLevel="0" collapsed="false">
      <c r="A457" s="2" t="n">
        <v>2015</v>
      </c>
      <c r="B457" s="2" t="s">
        <v>74</v>
      </c>
      <c r="C457" s="4" t="str">
        <f aca="false">IFERROR(VLOOKUP($B457,Ref_Continente!$A:$B,2,FALSE()),"Sin clasificar")</f>
        <v>Asia</v>
      </c>
      <c r="D457" s="5" t="n">
        <v>18</v>
      </c>
      <c r="E457" s="6" t="n">
        <v>8</v>
      </c>
      <c r="F457" s="6" t="n">
        <v>14400</v>
      </c>
      <c r="G457" s="5" t="n">
        <v>11619892590.69</v>
      </c>
      <c r="H457" s="4" t="n">
        <f aca="false">IFERROR(IF(AND(VLOOKUP($B457,Ref_Acuerdos!$A:$E,2,FALSE())="FTA",$A457&gt;=VLOOKUP($B457,Ref_Acuerdos!$A:$E,3,FALSE())),1,0),0)</f>
        <v>0</v>
      </c>
      <c r="I457" s="4" t="n">
        <f aca="false">IFERROR(IF(AND(VLOOKUP($B457,Ref_Acuerdos!$A:$E,2,FALSE())="PTA",$A457&gt;=VLOOKUP($B457,Ref_Acuerdos!$A:$E,3,FALSE())),1,0),0)</f>
        <v>0</v>
      </c>
      <c r="J457" s="7" t="str">
        <f aca="false">IFERROR(IF($A457&gt;=VLOOKUP($B457,Ref_Acuerdos!$A:$E,3,FALSE()),VLOOKUP($B457,Ref_Acuerdos!$A:$E,4,FALSE()),""),"")</f>
        <v/>
      </c>
      <c r="K457" s="4" t="str">
        <f aca="false">IFERROR(IF($A457&gt;=VLOOKUP($B457,Ref_Acuerdos!$A:$E,3,FALSE()),VLOOKUP($B457,Ref_Acuerdos!$A:$E,5,FALSE()),"Sin FTA/PTA vigente ese año - arancel NMF"),"Sin FTA/PTA identificado - arancel NMF")</f>
        <v>Sin FTA/PTA identificado - arancel NMF</v>
      </c>
    </row>
    <row r="458" customFormat="false" ht="15" hidden="false" customHeight="false" outlineLevel="0" collapsed="false">
      <c r="A458" s="2" t="n">
        <v>2015</v>
      </c>
      <c r="B458" s="2" t="s">
        <v>46</v>
      </c>
      <c r="C458" s="4" t="str">
        <f aca="false">IFERROR(VLOOKUP($B458,Ref_Continente!$A:$B,2,FALSE()),"Sin clasificar")</f>
        <v>Europe</v>
      </c>
      <c r="D458" s="5" t="n">
        <v>6</v>
      </c>
      <c r="E458" s="6" t="n">
        <v>15</v>
      </c>
      <c r="F458" s="6" t="n">
        <v>11250</v>
      </c>
      <c r="G458" s="5" t="n">
        <v>194567373678.1</v>
      </c>
      <c r="H458" s="4" t="n">
        <f aca="false">IFERROR(IF(AND(VLOOKUP($B458,Ref_Acuerdos!$A:$E,2,FALSE())="FTA",$A458&gt;=VLOOKUP($B458,Ref_Acuerdos!$A:$E,3,FALSE())),1,0),0)</f>
        <v>0</v>
      </c>
      <c r="I458" s="4" t="n">
        <f aca="false">IFERROR(IF(AND(VLOOKUP($B458,Ref_Acuerdos!$A:$E,2,FALSE())="PTA",$A458&gt;=VLOOKUP($B458,Ref_Acuerdos!$A:$E,3,FALSE())),1,0),0)</f>
        <v>0</v>
      </c>
      <c r="J458" s="7" t="str">
        <f aca="false">IFERROR(IF($A458&gt;=VLOOKUP($B458,Ref_Acuerdos!$A:$E,3,FALSE()),VLOOKUP($B458,Ref_Acuerdos!$A:$E,4,FALSE()),""),"")</f>
        <v/>
      </c>
      <c r="K458" s="4" t="str">
        <f aca="false">IFERROR(IF($A458&gt;=VLOOKUP($B458,Ref_Acuerdos!$A:$E,3,FALSE()),VLOOKUP($B458,Ref_Acuerdos!$A:$E,5,FALSE()),"Sin FTA/PTA vigente ese año - arancel NMF"),"Sin FTA/PTA identificado - arancel NMF")</f>
        <v>Sin FTA/PTA vigente ese año - arancel NMF</v>
      </c>
    </row>
    <row r="459" customFormat="false" ht="15" hidden="false" customHeight="false" outlineLevel="0" collapsed="false">
      <c r="A459" s="2" t="n">
        <v>2015</v>
      </c>
      <c r="B459" s="2" t="s">
        <v>90</v>
      </c>
      <c r="C459" s="4" t="str">
        <f aca="false">IFERROR(VLOOKUP($B459,Ref_Continente!$A:$B,2,FALSE()),"Sin clasificar")</f>
        <v>Europe</v>
      </c>
      <c r="D459" s="5" t="n">
        <v>3</v>
      </c>
      <c r="E459" s="6" t="n">
        <v>17</v>
      </c>
      <c r="F459" s="6" t="n">
        <v>10300</v>
      </c>
      <c r="G459" s="5" t="n">
        <v>480054118583.37</v>
      </c>
      <c r="H459" s="4" t="n">
        <f aca="false">IFERROR(IF(AND(VLOOKUP($B459,Ref_Acuerdos!$A:$E,2,FALSE())="FTA",$A459&gt;=VLOOKUP($B459,Ref_Acuerdos!$A:$E,3,FALSE())),1,0),0)</f>
        <v>0</v>
      </c>
      <c r="I459" s="4" t="n">
        <f aca="false">IFERROR(IF(AND(VLOOKUP($B459,Ref_Acuerdos!$A:$E,2,FALSE())="PTA",$A459&gt;=VLOOKUP($B459,Ref_Acuerdos!$A:$E,3,FALSE())),1,0),0)</f>
        <v>0</v>
      </c>
      <c r="J459" s="7" t="str">
        <f aca="false">IFERROR(IF($A459&gt;=VLOOKUP($B459,Ref_Acuerdos!$A:$E,3,FALSE()),VLOOKUP($B459,Ref_Acuerdos!$A:$E,4,FALSE()),""),"")</f>
        <v/>
      </c>
      <c r="K459" s="4" t="str">
        <f aca="false">IFERROR(IF($A459&gt;=VLOOKUP($B459,Ref_Acuerdos!$A:$E,3,FALSE()),VLOOKUP($B459,Ref_Acuerdos!$A:$E,5,FALSE()),"Sin FTA/PTA vigente ese año - arancel NMF"),"Sin FTA/PTA identificado - arancel NMF")</f>
        <v>Sin FTA/PTA vigente ese año - arancel NMF</v>
      </c>
    </row>
    <row r="460" customFormat="false" ht="15" hidden="false" customHeight="false" outlineLevel="0" collapsed="false">
      <c r="A460" s="2" t="n">
        <v>2016</v>
      </c>
      <c r="B460" s="2" t="s">
        <v>96</v>
      </c>
      <c r="C460" s="4" t="str">
        <f aca="false">IFERROR(VLOOKUP($B460,Ref_Continente!$A:$B,2,FALSE()),"Sin clasificar")</f>
        <v>Europe</v>
      </c>
      <c r="D460" s="5" t="n">
        <v>4829680</v>
      </c>
      <c r="E460" s="6" t="n">
        <v>1387843</v>
      </c>
      <c r="F460" s="6" t="n">
        <v>12000</v>
      </c>
      <c r="G460" s="5" t="n">
        <v>1276786350881.14</v>
      </c>
      <c r="H460" s="4" t="n">
        <f aca="false">IFERROR(IF(AND(VLOOKUP($B460,Ref_Acuerdos!$A:$E,2,FALSE())="FTA",$A460&gt;=VLOOKUP($B460,Ref_Acuerdos!$A:$E,3,FALSE())),1,0),0)</f>
        <v>0</v>
      </c>
      <c r="I460" s="4" t="n">
        <f aca="false">IFERROR(IF(AND(VLOOKUP($B460,Ref_Acuerdos!$A:$E,2,FALSE())="PTA",$A460&gt;=VLOOKUP($B460,Ref_Acuerdos!$A:$E,3,FALSE())),1,0),0)</f>
        <v>0</v>
      </c>
      <c r="J460" s="7" t="str">
        <f aca="false">IFERROR(IF($A460&gt;=VLOOKUP($B460,Ref_Acuerdos!$A:$E,3,FALSE()),VLOOKUP($B460,Ref_Acuerdos!$A:$E,4,FALSE()),""),"")</f>
        <v/>
      </c>
      <c r="K460" s="4" t="str">
        <f aca="false">IFERROR(IF($A460&gt;=VLOOKUP($B460,Ref_Acuerdos!$A:$E,3,FALSE()),VLOOKUP($B460,Ref_Acuerdos!$A:$E,5,FALSE()),"Sin FTA/PTA vigente ese año - arancel NMF"),"Sin FTA/PTA identificado - arancel NMF")</f>
        <v>Sin FTA/PTA identificado - arancel NMF</v>
      </c>
    </row>
    <row r="461" customFormat="false" ht="15" hidden="false" customHeight="false" outlineLevel="0" collapsed="false">
      <c r="A461" s="2" t="n">
        <v>2016</v>
      </c>
      <c r="B461" s="2" t="s">
        <v>61</v>
      </c>
      <c r="C461" s="4" t="str">
        <f aca="false">IFERROR(VLOOKUP($B461,Ref_Continente!$A:$B,2,FALSE()),"Sin clasificar")</f>
        <v>Asia</v>
      </c>
      <c r="D461" s="5" t="n">
        <v>4644695</v>
      </c>
      <c r="E461" s="6" t="n">
        <v>919273</v>
      </c>
      <c r="F461" s="6" t="n">
        <v>14500</v>
      </c>
      <c r="G461" s="5" t="n">
        <v>5003677627544.24</v>
      </c>
      <c r="H461" s="4" t="n">
        <f aca="false">IFERROR(IF(AND(VLOOKUP($B461,Ref_Acuerdos!$A:$E,2,FALSE())="FTA",$A461&gt;=VLOOKUP($B461,Ref_Acuerdos!$A:$E,3,FALSE())),1,0),0)</f>
        <v>0</v>
      </c>
      <c r="I461" s="4" t="n">
        <f aca="false">IFERROR(IF(AND(VLOOKUP($B461,Ref_Acuerdos!$A:$E,2,FALSE())="PTA",$A461&gt;=VLOOKUP($B461,Ref_Acuerdos!$A:$E,3,FALSE())),1,0),0)</f>
        <v>0</v>
      </c>
      <c r="J461" s="7" t="str">
        <f aca="false">IFERROR(IF($A461&gt;=VLOOKUP($B461,Ref_Acuerdos!$A:$E,3,FALSE()),VLOOKUP($B461,Ref_Acuerdos!$A:$E,4,FALSE()),""),"")</f>
        <v/>
      </c>
      <c r="K461" s="4" t="str">
        <f aca="false">IFERROR(IF($A461&gt;=VLOOKUP($B461,Ref_Acuerdos!$A:$E,3,FALSE()),VLOOKUP($B461,Ref_Acuerdos!$A:$E,5,FALSE()),"Sin FTA/PTA vigente ese año - arancel NMF"),"Sin FTA/PTA identificado - arancel NMF")</f>
        <v>Sin FTA/PTA identificado - arancel NMF</v>
      </c>
    </row>
    <row r="462" customFormat="false" ht="15" hidden="false" customHeight="false" outlineLevel="0" collapsed="false">
      <c r="A462" s="2" t="n">
        <v>2016</v>
      </c>
      <c r="B462" s="2" t="s">
        <v>114</v>
      </c>
      <c r="C462" s="4" t="str">
        <f aca="false">IFERROR(VLOOKUP($B462,Ref_Continente!$A:$B,2,FALSE()),"Sin clasificar")</f>
        <v>North America</v>
      </c>
      <c r="D462" s="5" t="n">
        <v>2316432</v>
      </c>
      <c r="E462" s="6" t="n">
        <v>499371</v>
      </c>
      <c r="F462" s="6" t="n">
        <v>4550</v>
      </c>
      <c r="G462" s="5" t="n">
        <v>18695110842000</v>
      </c>
      <c r="H462" s="4" t="n">
        <f aca="false">IFERROR(IF(AND(VLOOKUP($B462,Ref_Acuerdos!$A:$E,2,FALSE())="FTA",$A462&gt;=VLOOKUP($B462,Ref_Acuerdos!$A:$E,3,FALSE())),1,0),0)</f>
        <v>0</v>
      </c>
      <c r="I462" s="4" t="n">
        <f aca="false">IFERROR(IF(AND(VLOOKUP($B462,Ref_Acuerdos!$A:$E,2,FALSE())="PTA",$A462&gt;=VLOOKUP($B462,Ref_Acuerdos!$A:$E,3,FALSE())),1,0),0)</f>
        <v>0</v>
      </c>
      <c r="J462" s="7" t="str">
        <f aca="false">IFERROR(IF($A462&gt;=VLOOKUP($B462,Ref_Acuerdos!$A:$E,3,FALSE()),VLOOKUP($B462,Ref_Acuerdos!$A:$E,4,FALSE()),""),"")</f>
        <v/>
      </c>
      <c r="K462" s="4" t="str">
        <f aca="false">IFERROR(IF($A462&gt;=VLOOKUP($B462,Ref_Acuerdos!$A:$E,3,FALSE()),VLOOKUP($B462,Ref_Acuerdos!$A:$E,5,FALSE()),"Sin FTA/PTA vigente ese año - arancel NMF"),"Sin FTA/PTA identificado - arancel NMF")</f>
        <v>Sin FTA/PTA identificado - arancel NMF</v>
      </c>
    </row>
    <row r="463" customFormat="false" ht="15" hidden="false" customHeight="false" outlineLevel="0" collapsed="false">
      <c r="A463" s="2" t="n">
        <v>2016</v>
      </c>
      <c r="B463" s="2" t="s">
        <v>77</v>
      </c>
      <c r="C463" s="4" t="str">
        <f aca="false">IFERROR(VLOOKUP($B463,Ref_Continente!$A:$B,2,FALSE()),"Sin clasificar")</f>
        <v>Europe</v>
      </c>
      <c r="D463" s="5" t="n">
        <v>714903</v>
      </c>
      <c r="E463" s="6" t="n">
        <v>177461</v>
      </c>
      <c r="F463" s="6" t="n">
        <v>9300</v>
      </c>
      <c r="G463" s="5" t="n">
        <v>797163949289.89</v>
      </c>
      <c r="H463" s="4" t="n">
        <f aca="false">IFERROR(IF(AND(VLOOKUP($B463,Ref_Acuerdos!$A:$E,2,FALSE())="FTA",$A463&gt;=VLOOKUP($B463,Ref_Acuerdos!$A:$E,3,FALSE())),1,0),0)</f>
        <v>0</v>
      </c>
      <c r="I463" s="4" t="n">
        <f aca="false">IFERROR(IF(AND(VLOOKUP($B463,Ref_Acuerdos!$A:$E,2,FALSE())="PTA",$A463&gt;=VLOOKUP($B463,Ref_Acuerdos!$A:$E,3,FALSE())),1,0),0)</f>
        <v>0</v>
      </c>
      <c r="J463" s="7" t="str">
        <f aca="false">IFERROR(IF($A463&gt;=VLOOKUP($B463,Ref_Acuerdos!$A:$E,3,FALSE()),VLOOKUP($B463,Ref_Acuerdos!$A:$E,4,FALSE()),""),"")</f>
        <v/>
      </c>
      <c r="K463" s="4" t="str">
        <f aca="false">IFERROR(IF($A463&gt;=VLOOKUP($B463,Ref_Acuerdos!$A:$E,3,FALSE()),VLOOKUP($B463,Ref_Acuerdos!$A:$E,5,FALSE()),"Sin FTA/PTA vigente ese año - arancel NMF"),"Sin FTA/PTA identificado - arancel NMF")</f>
        <v>Sin FTA/PTA vigente ese año - arancel NMF</v>
      </c>
    </row>
    <row r="464" customFormat="false" ht="15" hidden="false" customHeight="false" outlineLevel="0" collapsed="false">
      <c r="A464" s="2" t="n">
        <v>2016</v>
      </c>
      <c r="B464" s="2" t="s">
        <v>105</v>
      </c>
      <c r="C464" s="4" t="str">
        <f aca="false">IFERROR(VLOOKUP($B464,Ref_Continente!$A:$B,2,FALSE()),"Sin clasificar")</f>
        <v>Europe</v>
      </c>
      <c r="D464" s="5" t="n">
        <v>554591</v>
      </c>
      <c r="E464" s="6" t="n">
        <v>127953</v>
      </c>
      <c r="F464" s="6" t="n">
        <v>8700</v>
      </c>
      <c r="G464" s="5" t="n">
        <v>1243015667917.12</v>
      </c>
      <c r="H464" s="4" t="n">
        <f aca="false">IFERROR(IF(AND(VLOOKUP($B464,Ref_Acuerdos!$A:$E,2,FALSE())="FTA",$A464&gt;=VLOOKUP($B464,Ref_Acuerdos!$A:$E,3,FALSE())),1,0),0)</f>
        <v>0</v>
      </c>
      <c r="I464" s="4" t="n">
        <f aca="false">IFERROR(IF(AND(VLOOKUP($B464,Ref_Acuerdos!$A:$E,2,FALSE())="PTA",$A464&gt;=VLOOKUP($B464,Ref_Acuerdos!$A:$E,3,FALSE())),1,0),0)</f>
        <v>0</v>
      </c>
      <c r="J464" s="7" t="str">
        <f aca="false">IFERROR(IF($A464&gt;=VLOOKUP($B464,Ref_Acuerdos!$A:$E,3,FALSE()),VLOOKUP($B464,Ref_Acuerdos!$A:$E,4,FALSE()),""),"")</f>
        <v/>
      </c>
      <c r="K464" s="4" t="str">
        <f aca="false">IFERROR(IF($A464&gt;=VLOOKUP($B464,Ref_Acuerdos!$A:$E,3,FALSE()),VLOOKUP($B464,Ref_Acuerdos!$A:$E,5,FALSE()),"Sin FTA/PTA vigente ese año - arancel NMF"),"Sin FTA/PTA identificado - arancel NMF")</f>
        <v>Sin FTA/PTA vigente ese año - arancel NMF</v>
      </c>
    </row>
    <row r="465" customFormat="false" ht="15" hidden="false" customHeight="false" outlineLevel="0" collapsed="false">
      <c r="A465" s="2" t="n">
        <v>2016</v>
      </c>
      <c r="B465" s="2" t="s">
        <v>12</v>
      </c>
      <c r="C465" s="4" t="str">
        <f aca="false">IFERROR(VLOOKUP($B465,Ref_Continente!$A:$B,2,FALSE()),"Sin clasificar")</f>
        <v>Oceania</v>
      </c>
      <c r="D465" s="5" t="n">
        <v>302561</v>
      </c>
      <c r="E465" s="6" t="n">
        <v>60967</v>
      </c>
      <c r="F465" s="6" t="n">
        <v>14000</v>
      </c>
      <c r="G465" s="5" t="n">
        <v>1211588128417.61</v>
      </c>
      <c r="H465" s="4" t="n">
        <f aca="false">IFERROR(IF(AND(VLOOKUP($B465,Ref_Acuerdos!$A:$E,2,FALSE())="FTA",$A465&gt;=VLOOKUP($B465,Ref_Acuerdos!$A:$E,3,FALSE())),1,0),0)</f>
        <v>0</v>
      </c>
      <c r="I465" s="4" t="n">
        <f aca="false">IFERROR(IF(AND(VLOOKUP($B465,Ref_Acuerdos!$A:$E,2,FALSE())="PTA",$A465&gt;=VLOOKUP($B465,Ref_Acuerdos!$A:$E,3,FALSE())),1,0),0)</f>
        <v>0</v>
      </c>
      <c r="J465" s="7" t="str">
        <f aca="false">IFERROR(IF($A465&gt;=VLOOKUP($B465,Ref_Acuerdos!$A:$E,3,FALSE()),VLOOKUP($B465,Ref_Acuerdos!$A:$E,4,FALSE()),""),"")</f>
        <v/>
      </c>
      <c r="K465" s="4" t="str">
        <f aca="false">IFERROR(IF($A465&gt;=VLOOKUP($B465,Ref_Acuerdos!$A:$E,3,FALSE()),VLOOKUP($B465,Ref_Acuerdos!$A:$E,5,FALSE()),"Sin FTA/PTA vigente ese año - arancel NMF"),"Sin FTA/PTA identificado - arancel NMF")</f>
        <v>Sin FTA/PTA identificado - arancel NMF</v>
      </c>
    </row>
    <row r="466" customFormat="false" ht="15" hidden="false" customHeight="false" outlineLevel="0" collapsed="false">
      <c r="A466" s="2" t="n">
        <v>2016</v>
      </c>
      <c r="B466" s="2" t="s">
        <v>115</v>
      </c>
      <c r="C466" s="4" t="str">
        <f aca="false">IFERROR(VLOOKUP($B466,Ref_Continente!$A:$B,2,FALSE()),"Sin clasificar")</f>
        <v>Europe</v>
      </c>
      <c r="D466" s="5" t="n">
        <v>233964</v>
      </c>
      <c r="E466" s="6" t="n">
        <v>63338</v>
      </c>
      <c r="F466" s="6" t="n">
        <v>11</v>
      </c>
      <c r="G466" s="5" t="n">
        <v>93355869403.92</v>
      </c>
      <c r="H466" s="4" t="n">
        <f aca="false">IFERROR(IF(AND(VLOOKUP($B466,Ref_Acuerdos!$A:$E,2,FALSE())="FTA",$A466&gt;=VLOOKUP($B466,Ref_Acuerdos!$A:$E,3,FALSE())),1,0),0)</f>
        <v>0</v>
      </c>
      <c r="I466" s="4" t="n">
        <f aca="false">IFERROR(IF(AND(VLOOKUP($B466,Ref_Acuerdos!$A:$E,2,FALSE())="PTA",$A466&gt;=VLOOKUP($B466,Ref_Acuerdos!$A:$E,3,FALSE())),1,0),0)</f>
        <v>0</v>
      </c>
      <c r="J466" s="7" t="str">
        <f aca="false">IFERROR(IF($A466&gt;=VLOOKUP($B466,Ref_Acuerdos!$A:$E,3,FALSE()),VLOOKUP($B466,Ref_Acuerdos!$A:$E,4,FALSE()),""),"")</f>
        <v/>
      </c>
      <c r="K466" s="4" t="str">
        <f aca="false">IFERROR(IF($A466&gt;=VLOOKUP($B466,Ref_Acuerdos!$A:$E,3,FALSE()),VLOOKUP($B466,Ref_Acuerdos!$A:$E,5,FALSE()),"Sin FTA/PTA vigente ese año - arancel NMF"),"Sin FTA/PTA identificado - arancel NMF")</f>
        <v>Sin FTA/PTA identificado - arancel NMF</v>
      </c>
    </row>
    <row r="467" customFormat="false" ht="15" hidden="false" customHeight="false" outlineLevel="0" collapsed="false">
      <c r="A467" s="2" t="n">
        <v>2016</v>
      </c>
      <c r="B467" s="2" t="s">
        <v>26</v>
      </c>
      <c r="C467" s="4" t="str">
        <f aca="false">IFERROR(VLOOKUP($B467,Ref_Continente!$A:$B,2,FALSE()),"Sin clasificar")</f>
        <v>South America</v>
      </c>
      <c r="D467" s="5" t="n">
        <v>137246</v>
      </c>
      <c r="E467" s="6" t="n">
        <v>40972</v>
      </c>
      <c r="F467" s="6" t="n">
        <v>2600</v>
      </c>
      <c r="G467" s="5" t="n">
        <v>249344863928.44</v>
      </c>
      <c r="H467" s="4" t="n">
        <f aca="false">IFERROR(IF(AND(VLOOKUP($B467,Ref_Acuerdos!$A:$E,2,FALSE())="FTA",$A467&gt;=VLOOKUP($B467,Ref_Acuerdos!$A:$E,3,FALSE())),1,0),0)</f>
        <v>1</v>
      </c>
      <c r="I467" s="4" t="n">
        <f aca="false">IFERROR(IF(AND(VLOOKUP($B467,Ref_Acuerdos!$A:$E,2,FALSE())="PTA",$A467&gt;=VLOOKUP($B467,Ref_Acuerdos!$A:$E,3,FALSE())),1,0),0)</f>
        <v>0</v>
      </c>
      <c r="J467" s="7" t="n">
        <f aca="false">IFERROR(IF($A467&gt;=VLOOKUP($B467,Ref_Acuerdos!$A:$E,3,FALSE()),VLOOKUP($B467,Ref_Acuerdos!$A:$E,4,FALSE()),""),"")</f>
        <v>0</v>
      </c>
      <c r="K467" s="4" t="str">
        <f aca="false">IFERROR(IF($A467&gt;=VLOOKUP($B467,Ref_Acuerdos!$A:$E,3,FALSE()),VLOOKUP($B467,Ref_Acuerdos!$A:$E,5,FALSE()),"Sin FTA/PTA vigente ese año - arancel NMF"),"Sin FTA/PTA identificado - arancel NMF")</f>
        <v>Ecuador-Chile ACE 65, vigente desde 2010</v>
      </c>
    </row>
    <row r="468" customFormat="false" ht="15" hidden="false" customHeight="false" outlineLevel="0" collapsed="false">
      <c r="A468" s="2" t="n">
        <v>2016</v>
      </c>
      <c r="B468" s="2" t="s">
        <v>59</v>
      </c>
      <c r="C468" s="4" t="str">
        <f aca="false">IFERROR(VLOOKUP($B468,Ref_Continente!$A:$B,2,FALSE()),"Sin clasificar")</f>
        <v>Europe</v>
      </c>
      <c r="D468" s="5" t="n">
        <v>123717</v>
      </c>
      <c r="E468" s="6" t="n">
        <v>29627</v>
      </c>
      <c r="F468" s="6" t="n">
        <v>10100</v>
      </c>
      <c r="G468" s="5" t="n">
        <v>1887111188176.93</v>
      </c>
      <c r="H468" s="4" t="n">
        <f aca="false">IFERROR(IF(AND(VLOOKUP($B468,Ref_Acuerdos!$A:$E,2,FALSE())="FTA",$A468&gt;=VLOOKUP($B468,Ref_Acuerdos!$A:$E,3,FALSE())),1,0),0)</f>
        <v>0</v>
      </c>
      <c r="I468" s="4" t="n">
        <f aca="false">IFERROR(IF(AND(VLOOKUP($B468,Ref_Acuerdos!$A:$E,2,FALSE())="PTA",$A468&gt;=VLOOKUP($B468,Ref_Acuerdos!$A:$E,3,FALSE())),1,0),0)</f>
        <v>0</v>
      </c>
      <c r="J468" s="7" t="str">
        <f aca="false">IFERROR(IF($A468&gt;=VLOOKUP($B468,Ref_Acuerdos!$A:$E,3,FALSE()),VLOOKUP($B468,Ref_Acuerdos!$A:$E,4,FALSE()),""),"")</f>
        <v/>
      </c>
      <c r="K468" s="4" t="str">
        <f aca="false">IFERROR(IF($A468&gt;=VLOOKUP($B468,Ref_Acuerdos!$A:$E,3,FALSE()),VLOOKUP($B468,Ref_Acuerdos!$A:$E,5,FALSE()),"Sin FTA/PTA vigente ese año - arancel NMF"),"Sin FTA/PTA identificado - arancel NMF")</f>
        <v>Sin FTA/PTA vigente ese año - arancel NMF</v>
      </c>
    </row>
    <row r="469" customFormat="false" ht="15" hidden="false" customHeight="false" outlineLevel="0" collapsed="false">
      <c r="A469" s="2" t="n">
        <v>2016</v>
      </c>
      <c r="B469" s="2" t="s">
        <v>66</v>
      </c>
      <c r="C469" s="4" t="str">
        <f aca="false">IFERROR(VLOOKUP($B469,Ref_Continente!$A:$B,2,FALSE()),"Sin clasificar")</f>
        <v>Europe</v>
      </c>
      <c r="D469" s="5" t="n">
        <v>117741</v>
      </c>
      <c r="E469" s="6" t="n">
        <v>35087</v>
      </c>
      <c r="F469" s="6" t="n">
        <v>10400</v>
      </c>
      <c r="G469" s="5" t="n">
        <v>27117105059.51</v>
      </c>
      <c r="H469" s="4" t="n">
        <f aca="false">IFERROR(IF(AND(VLOOKUP($B469,Ref_Acuerdos!$A:$E,2,FALSE())="FTA",$A469&gt;=VLOOKUP($B469,Ref_Acuerdos!$A:$E,3,FALSE())),1,0),0)</f>
        <v>0</v>
      </c>
      <c r="I469" s="4" t="n">
        <f aca="false">IFERROR(IF(AND(VLOOKUP($B469,Ref_Acuerdos!$A:$E,2,FALSE())="PTA",$A469&gt;=VLOOKUP($B469,Ref_Acuerdos!$A:$E,3,FALSE())),1,0),0)</f>
        <v>0</v>
      </c>
      <c r="J469" s="7" t="str">
        <f aca="false">IFERROR(IF($A469&gt;=VLOOKUP($B469,Ref_Acuerdos!$A:$E,3,FALSE()),VLOOKUP($B469,Ref_Acuerdos!$A:$E,4,FALSE()),""),"")</f>
        <v/>
      </c>
      <c r="K469" s="4" t="str">
        <f aca="false">IFERROR(IF($A469&gt;=VLOOKUP($B469,Ref_Acuerdos!$A:$E,3,FALSE()),VLOOKUP($B469,Ref_Acuerdos!$A:$E,5,FALSE()),"Sin FTA/PTA vigente ese año - arancel NMF"),"Sin FTA/PTA identificado - arancel NMF")</f>
        <v>Sin FTA/PTA vigente ese año - arancel NMF</v>
      </c>
    </row>
    <row r="470" customFormat="false" ht="15" hidden="false" customHeight="false" outlineLevel="0" collapsed="false">
      <c r="A470" s="2" t="n">
        <v>2016</v>
      </c>
      <c r="B470" s="2" t="s">
        <v>6</v>
      </c>
      <c r="C470" s="4" t="str">
        <f aca="false">IFERROR(VLOOKUP($B470,Ref_Continente!$A:$B,2,FALSE()),"Sin clasificar")</f>
        <v>South America</v>
      </c>
      <c r="D470" s="5" t="n">
        <v>113867</v>
      </c>
      <c r="E470" s="6" t="n">
        <v>28752</v>
      </c>
      <c r="F470" s="6" t="n">
        <v>4320</v>
      </c>
      <c r="G470" s="5" t="n">
        <v>557532320662.96</v>
      </c>
      <c r="H470" s="4" t="n">
        <f aca="false">IFERROR(IF(AND(VLOOKUP($B470,Ref_Acuerdos!$A:$E,2,FALSE())="FTA",$A470&gt;=VLOOKUP($B470,Ref_Acuerdos!$A:$E,3,FALSE())),1,0),0)</f>
        <v>0</v>
      </c>
      <c r="I470" s="4" t="n">
        <f aca="false">IFERROR(IF(AND(VLOOKUP($B470,Ref_Acuerdos!$A:$E,2,FALSE())="PTA",$A470&gt;=VLOOKUP($B470,Ref_Acuerdos!$A:$E,3,FALSE())),1,0),0)</f>
        <v>1</v>
      </c>
      <c r="J470" s="7" t="n">
        <f aca="false">IFERROR(IF($A470&gt;=VLOOKUP($B470,Ref_Acuerdos!$A:$E,3,FALSE()),VLOOKUP($B470,Ref_Acuerdos!$A:$E,4,FALSE()),""),"")</f>
        <v>5</v>
      </c>
      <c r="K470" s="4" t="str">
        <f aca="false">IFERROR(IF($A470&gt;=VLOOKUP($B470,Ref_Acuerdos!$A:$E,3,FALSE()),VLOOKUP($B470,Ref_Acuerdos!$A:$E,5,FALSE()),"Sin FTA/PTA vigente ese año - arancel NMF"),"Sin FTA/PTA identificado - arancel NMF")</f>
        <v>Ecuador-Mercosur ACE 59 - preferencias parciales (tarifa referencial)</v>
      </c>
    </row>
    <row r="471" customFormat="false" ht="15" hidden="false" customHeight="false" outlineLevel="0" collapsed="false">
      <c r="A471" s="2" t="n">
        <v>2016</v>
      </c>
      <c r="B471" s="2" t="s">
        <v>118</v>
      </c>
      <c r="C471" s="4" t="str">
        <f aca="false">IFERROR(VLOOKUP($B471,Ref_Continente!$A:$B,2,FALSE()),"Sin clasificar")</f>
        <v>South America</v>
      </c>
      <c r="D471" s="5" t="n">
        <v>108493</v>
      </c>
      <c r="E471" s="6" t="n">
        <v>23751</v>
      </c>
      <c r="F471" s="6" t="n">
        <v>4650</v>
      </c>
      <c r="G471" s="5" t="n">
        <v>57480787465.27</v>
      </c>
      <c r="H471" s="4" t="n">
        <f aca="false">IFERROR(IF(AND(VLOOKUP($B471,Ref_Acuerdos!$A:$E,2,FALSE())="FTA",$A471&gt;=VLOOKUP($B471,Ref_Acuerdos!$A:$E,3,FALSE())),1,0),0)</f>
        <v>0</v>
      </c>
      <c r="I471" s="4" t="n">
        <f aca="false">IFERROR(IF(AND(VLOOKUP($B471,Ref_Acuerdos!$A:$E,2,FALSE())="PTA",$A471&gt;=VLOOKUP($B471,Ref_Acuerdos!$A:$E,3,FALSE())),1,0),0)</f>
        <v>1</v>
      </c>
      <c r="J471" s="7" t="n">
        <f aca="false">IFERROR(IF($A471&gt;=VLOOKUP($B471,Ref_Acuerdos!$A:$E,3,FALSE()),VLOOKUP($B471,Ref_Acuerdos!$A:$E,4,FALSE()),""),"")</f>
        <v>5</v>
      </c>
      <c r="K471" s="4" t="str">
        <f aca="false">IFERROR(IF($A471&gt;=VLOOKUP($B471,Ref_Acuerdos!$A:$E,3,FALSE()),VLOOKUP($B471,Ref_Acuerdos!$A:$E,5,FALSE()),"Sin FTA/PTA vigente ese año - arancel NMF"),"Sin FTA/PTA identificado - arancel NMF")</f>
        <v>Ecuador-Mercosur ACE 59 - preferencias parciales (tarifa referencial)</v>
      </c>
    </row>
    <row r="472" customFormat="false" ht="15" hidden="false" customHeight="false" outlineLevel="0" collapsed="false">
      <c r="A472" s="2" t="n">
        <v>2016</v>
      </c>
      <c r="B472" s="2" t="s">
        <v>37</v>
      </c>
      <c r="C472" s="4" t="str">
        <f aca="false">IFERROR(VLOOKUP($B472,Ref_Continente!$A:$B,2,FALSE()),"Sin clasificar")</f>
        <v>North America</v>
      </c>
      <c r="D472" s="5" t="n">
        <v>77165</v>
      </c>
      <c r="E472" s="6" t="n">
        <v>17218</v>
      </c>
      <c r="F472" s="6" t="n">
        <v>2200</v>
      </c>
      <c r="G472" s="5" t="n">
        <v>75552902635.71</v>
      </c>
      <c r="H472" s="4" t="n">
        <f aca="false">IFERROR(IF(AND(VLOOKUP($B472,Ref_Acuerdos!$A:$E,2,FALSE())="FTA",$A472&gt;=VLOOKUP($B472,Ref_Acuerdos!$A:$E,3,FALSE())),1,0),0)</f>
        <v>0</v>
      </c>
      <c r="I472" s="4" t="n">
        <f aca="false">IFERROR(IF(AND(VLOOKUP($B472,Ref_Acuerdos!$A:$E,2,FALSE())="PTA",$A472&gt;=VLOOKUP($B472,Ref_Acuerdos!$A:$E,3,FALSE())),1,0),0)</f>
        <v>0</v>
      </c>
      <c r="J472" s="7" t="str">
        <f aca="false">IFERROR(IF($A472&gt;=VLOOKUP($B472,Ref_Acuerdos!$A:$E,3,FALSE()),VLOOKUP($B472,Ref_Acuerdos!$A:$E,4,FALSE()),""),"")</f>
        <v/>
      </c>
      <c r="K472" s="4" t="str">
        <f aca="false">IFERROR(IF($A472&gt;=VLOOKUP($B472,Ref_Acuerdos!$A:$E,3,FALSE()),VLOOKUP($B472,Ref_Acuerdos!$A:$E,5,FALSE()),"Sin FTA/PTA vigente ese año - arancel NMF"),"Sin FTA/PTA identificado - arancel NMF")</f>
        <v>Sin FTA/PTA identificado - arancel NMF</v>
      </c>
    </row>
    <row r="473" customFormat="false" ht="15" hidden="false" customHeight="false" outlineLevel="0" collapsed="false">
      <c r="A473" s="2" t="n">
        <v>2016</v>
      </c>
      <c r="B473" s="2" t="s">
        <v>63</v>
      </c>
      <c r="C473" s="4" t="str">
        <f aca="false">IFERROR(VLOOKUP($B473,Ref_Continente!$A:$B,2,FALSE()),"Sin clasificar")</f>
        <v>Asia</v>
      </c>
      <c r="D473" s="5" t="n">
        <v>69353</v>
      </c>
      <c r="E473" s="6" t="n">
        <v>18412</v>
      </c>
      <c r="F473" s="6" t="n">
        <v>13600</v>
      </c>
      <c r="G473" s="5" t="n">
        <v>137278320084.17</v>
      </c>
      <c r="H473" s="4" t="n">
        <f aca="false">IFERROR(IF(AND(VLOOKUP($B473,Ref_Acuerdos!$A:$E,2,FALSE())="FTA",$A473&gt;=VLOOKUP($B473,Ref_Acuerdos!$A:$E,3,FALSE())),1,0),0)</f>
        <v>0</v>
      </c>
      <c r="I473" s="4" t="n">
        <f aca="false">IFERROR(IF(AND(VLOOKUP($B473,Ref_Acuerdos!$A:$E,2,FALSE())="PTA",$A473&gt;=VLOOKUP($B473,Ref_Acuerdos!$A:$E,3,FALSE())),1,0),0)</f>
        <v>0</v>
      </c>
      <c r="J473" s="7" t="str">
        <f aca="false">IFERROR(IF($A473&gt;=VLOOKUP($B473,Ref_Acuerdos!$A:$E,3,FALSE()),VLOOKUP($B473,Ref_Acuerdos!$A:$E,4,FALSE()),""),"")</f>
        <v/>
      </c>
      <c r="K473" s="4" t="str">
        <f aca="false">IFERROR(IF($A473&gt;=VLOOKUP($B473,Ref_Acuerdos!$A:$E,3,FALSE()),VLOOKUP($B473,Ref_Acuerdos!$A:$E,5,FALSE()),"Sin FTA/PTA vigente ese año - arancel NMF"),"Sin FTA/PTA identificado - arancel NMF")</f>
        <v>Sin FTA/PTA identificado - arancel NMF</v>
      </c>
    </row>
    <row r="474" customFormat="false" ht="15" hidden="false" customHeight="false" outlineLevel="0" collapsed="false">
      <c r="A474" s="2" t="n">
        <v>2016</v>
      </c>
      <c r="B474" s="2" t="s">
        <v>25</v>
      </c>
      <c r="C474" s="4" t="str">
        <f aca="false">IFERROR(VLOOKUP($B474,Ref_Continente!$A:$B,2,FALSE()),"Sin clasificar")</f>
        <v>North America</v>
      </c>
      <c r="D474" s="5" t="n">
        <v>63616</v>
      </c>
      <c r="E474" s="6" t="n">
        <v>10209</v>
      </c>
      <c r="F474" s="6" t="n">
        <v>5900</v>
      </c>
      <c r="G474" s="5" t="n">
        <v>1527994741907.43</v>
      </c>
      <c r="H474" s="4" t="n">
        <f aca="false">IFERROR(IF(AND(VLOOKUP($B474,Ref_Acuerdos!$A:$E,2,FALSE())="FTA",$A474&gt;=VLOOKUP($B474,Ref_Acuerdos!$A:$E,3,FALSE())),1,0),0)</f>
        <v>0</v>
      </c>
      <c r="I474" s="4" t="n">
        <f aca="false">IFERROR(IF(AND(VLOOKUP($B474,Ref_Acuerdos!$A:$E,2,FALSE())="PTA",$A474&gt;=VLOOKUP($B474,Ref_Acuerdos!$A:$E,3,FALSE())),1,0),0)</f>
        <v>0</v>
      </c>
      <c r="J474" s="7" t="str">
        <f aca="false">IFERROR(IF($A474&gt;=VLOOKUP($B474,Ref_Acuerdos!$A:$E,3,FALSE()),VLOOKUP($B474,Ref_Acuerdos!$A:$E,4,FALSE()),""),"")</f>
        <v/>
      </c>
      <c r="K474" s="4" t="str">
        <f aca="false">IFERROR(IF($A474&gt;=VLOOKUP($B474,Ref_Acuerdos!$A:$E,3,FALSE()),VLOOKUP($B474,Ref_Acuerdos!$A:$E,5,FALSE()),"Sin FTA/PTA vigente ese año - arancel NMF"),"Sin FTA/PTA identificado - arancel NMF")</f>
        <v>Sin FTA/PTA identificado - arancel NMF</v>
      </c>
    </row>
    <row r="475" customFormat="false" ht="15" hidden="false" customHeight="false" outlineLevel="0" collapsed="false">
      <c r="A475" s="2" t="n">
        <v>2016</v>
      </c>
      <c r="B475" s="2" t="s">
        <v>87</v>
      </c>
      <c r="C475" s="4" t="str">
        <f aca="false">IFERROR(VLOOKUP($B475,Ref_Continente!$A:$B,2,FALSE()),"Sin clasificar")</f>
        <v>South America</v>
      </c>
      <c r="D475" s="5" t="n">
        <v>50905</v>
      </c>
      <c r="E475" s="6" t="n">
        <v>4861</v>
      </c>
      <c r="F475" s="6" t="n">
        <v>3600</v>
      </c>
      <c r="G475" s="5" t="n">
        <v>36089700222.95</v>
      </c>
      <c r="H475" s="4" t="n">
        <f aca="false">IFERROR(IF(AND(VLOOKUP($B475,Ref_Acuerdos!$A:$E,2,FALSE())="FTA",$A475&gt;=VLOOKUP($B475,Ref_Acuerdos!$A:$E,3,FALSE())),1,0),0)</f>
        <v>0</v>
      </c>
      <c r="I475" s="4" t="n">
        <f aca="false">IFERROR(IF(AND(VLOOKUP($B475,Ref_Acuerdos!$A:$E,2,FALSE())="PTA",$A475&gt;=VLOOKUP($B475,Ref_Acuerdos!$A:$E,3,FALSE())),1,0),0)</f>
        <v>1</v>
      </c>
      <c r="J475" s="7" t="n">
        <f aca="false">IFERROR(IF($A475&gt;=VLOOKUP($B475,Ref_Acuerdos!$A:$E,3,FALSE()),VLOOKUP($B475,Ref_Acuerdos!$A:$E,4,FALSE()),""),"")</f>
        <v>5</v>
      </c>
      <c r="K475" s="4" t="str">
        <f aca="false">IFERROR(IF($A475&gt;=VLOOKUP($B475,Ref_Acuerdos!$A:$E,3,FALSE()),VLOOKUP($B475,Ref_Acuerdos!$A:$E,5,FALSE()),"Sin FTA/PTA vigente ese año - arancel NMF"),"Sin FTA/PTA identificado - arancel NMF")</f>
        <v>Ecuador-Mercosur ACE 59 - preferencias parciales (tarifa referencial)</v>
      </c>
    </row>
    <row r="476" customFormat="false" ht="15" hidden="false" customHeight="false" outlineLevel="0" collapsed="false">
      <c r="A476" s="2" t="n">
        <v>2016</v>
      </c>
      <c r="B476" s="2" t="s">
        <v>35</v>
      </c>
      <c r="C476" s="4" t="str">
        <f aca="false">IFERROR(VLOOKUP($B476,Ref_Continente!$A:$B,2,FALSE()),"Sin clasificar")</f>
        <v>Europe</v>
      </c>
      <c r="D476" s="5" t="n">
        <v>48029</v>
      </c>
      <c r="E476" s="6" t="n">
        <v>10481</v>
      </c>
      <c r="F476" s="6" t="n">
        <v>10100</v>
      </c>
      <c r="G476" s="5" t="n">
        <v>198160659303.94</v>
      </c>
      <c r="H476" s="4" t="n">
        <f aca="false">IFERROR(IF(AND(VLOOKUP($B476,Ref_Acuerdos!$A:$E,2,FALSE())="FTA",$A476&gt;=VLOOKUP($B476,Ref_Acuerdos!$A:$E,3,FALSE())),1,0),0)</f>
        <v>0</v>
      </c>
      <c r="I476" s="4" t="n">
        <f aca="false">IFERROR(IF(AND(VLOOKUP($B476,Ref_Acuerdos!$A:$E,2,FALSE())="PTA",$A476&gt;=VLOOKUP($B476,Ref_Acuerdos!$A:$E,3,FALSE())),1,0),0)</f>
        <v>0</v>
      </c>
      <c r="J476" s="7" t="str">
        <f aca="false">IFERROR(IF($A476&gt;=VLOOKUP($B476,Ref_Acuerdos!$A:$E,3,FALSE()),VLOOKUP($B476,Ref_Acuerdos!$A:$E,4,FALSE()),""),"")</f>
        <v/>
      </c>
      <c r="K476" s="4" t="str">
        <f aca="false">IFERROR(IF($A476&gt;=VLOOKUP($B476,Ref_Acuerdos!$A:$E,3,FALSE()),VLOOKUP($B476,Ref_Acuerdos!$A:$E,5,FALSE()),"Sin FTA/PTA vigente ese año - arancel NMF"),"Sin FTA/PTA identificado - arancel NMF")</f>
        <v>Sin FTA/PTA vigente ese año - arancel NMF</v>
      </c>
    </row>
    <row r="477" customFormat="false" ht="15" hidden="false" customHeight="false" outlineLevel="0" collapsed="false">
      <c r="A477" s="2" t="n">
        <v>2016</v>
      </c>
      <c r="B477" s="2" t="s">
        <v>42</v>
      </c>
      <c r="C477" s="4" t="str">
        <f aca="false">IFERROR(VLOOKUP($B477,Ref_Continente!$A:$B,2,FALSE()),"Sin clasificar")</f>
        <v>Europe</v>
      </c>
      <c r="D477" s="5" t="n">
        <v>47042</v>
      </c>
      <c r="E477" s="6" t="n">
        <v>8567</v>
      </c>
      <c r="F477" s="6" t="n">
        <v>9150</v>
      </c>
      <c r="G477" s="5" t="n">
        <v>2470407619777.13</v>
      </c>
      <c r="H477" s="4" t="n">
        <f aca="false">IFERROR(IF(AND(VLOOKUP($B477,Ref_Acuerdos!$A:$E,2,FALSE())="FTA",$A477&gt;=VLOOKUP($B477,Ref_Acuerdos!$A:$E,3,FALSE())),1,0),0)</f>
        <v>0</v>
      </c>
      <c r="I477" s="4" t="n">
        <f aca="false">IFERROR(IF(AND(VLOOKUP($B477,Ref_Acuerdos!$A:$E,2,FALSE())="PTA",$A477&gt;=VLOOKUP($B477,Ref_Acuerdos!$A:$E,3,FALSE())),1,0),0)</f>
        <v>0</v>
      </c>
      <c r="J477" s="7" t="str">
        <f aca="false">IFERROR(IF($A477&gt;=VLOOKUP($B477,Ref_Acuerdos!$A:$E,3,FALSE()),VLOOKUP($B477,Ref_Acuerdos!$A:$E,4,FALSE()),""),"")</f>
        <v/>
      </c>
      <c r="K477" s="4" t="str">
        <f aca="false">IFERROR(IF($A477&gt;=VLOOKUP($B477,Ref_Acuerdos!$A:$E,3,FALSE()),VLOOKUP($B477,Ref_Acuerdos!$A:$E,5,FALSE()),"Sin FTA/PTA vigente ese año - arancel NMF"),"Sin FTA/PTA identificado - arancel NMF")</f>
        <v>Sin FTA/PTA vigente ese año - arancel NMF</v>
      </c>
    </row>
    <row r="478" customFormat="false" ht="15" hidden="false" customHeight="false" outlineLevel="0" collapsed="false">
      <c r="A478" s="2" t="n">
        <v>2016</v>
      </c>
      <c r="B478" s="2" t="s">
        <v>19</v>
      </c>
      <c r="C478" s="4" t="str">
        <f aca="false">IFERROR(VLOOKUP($B478,Ref_Continente!$A:$B,2,FALSE()),"Sin clasificar")</f>
        <v>Europe</v>
      </c>
      <c r="D478" s="5" t="n">
        <v>42882</v>
      </c>
      <c r="E478" s="6" t="n">
        <v>9232</v>
      </c>
      <c r="F478" s="6" t="n">
        <v>10600</v>
      </c>
      <c r="G478" s="5" t="n">
        <v>47723545321.26</v>
      </c>
      <c r="H478" s="4" t="n">
        <f aca="false">IFERROR(IF(AND(VLOOKUP($B478,Ref_Acuerdos!$A:$E,2,FALSE())="FTA",$A478&gt;=VLOOKUP($B478,Ref_Acuerdos!$A:$E,3,FALSE())),1,0),0)</f>
        <v>0</v>
      </c>
      <c r="I478" s="4" t="n">
        <f aca="false">IFERROR(IF(AND(VLOOKUP($B478,Ref_Acuerdos!$A:$E,2,FALSE())="PTA",$A478&gt;=VLOOKUP($B478,Ref_Acuerdos!$A:$E,3,FALSE())),1,0),0)</f>
        <v>0</v>
      </c>
      <c r="J478" s="7" t="str">
        <f aca="false">IFERROR(IF($A478&gt;=VLOOKUP($B478,Ref_Acuerdos!$A:$E,3,FALSE()),VLOOKUP($B478,Ref_Acuerdos!$A:$E,4,FALSE()),""),"")</f>
        <v/>
      </c>
      <c r="K478" s="4" t="str">
        <f aca="false">IFERROR(IF($A478&gt;=VLOOKUP($B478,Ref_Acuerdos!$A:$E,3,FALSE()),VLOOKUP($B478,Ref_Acuerdos!$A:$E,5,FALSE()),"Sin FTA/PTA vigente ese año - arancel NMF"),"Sin FTA/PTA identificado - arancel NMF")</f>
        <v>Sin FTA/PTA identificado - arancel NMF</v>
      </c>
    </row>
    <row r="479" customFormat="false" ht="15" hidden="false" customHeight="false" outlineLevel="0" collapsed="false">
      <c r="A479" s="2" t="n">
        <v>2016</v>
      </c>
      <c r="B479" s="2" t="s">
        <v>90</v>
      </c>
      <c r="C479" s="4" t="str">
        <f aca="false">IFERROR(VLOOKUP($B479,Ref_Continente!$A:$B,2,FALSE()),"Sin clasificar")</f>
        <v>Europe</v>
      </c>
      <c r="D479" s="5" t="n">
        <v>35217</v>
      </c>
      <c r="E479" s="6" t="n">
        <v>7421</v>
      </c>
      <c r="F479" s="6" t="n">
        <v>10300</v>
      </c>
      <c r="G479" s="5" t="n">
        <v>473259583969.64</v>
      </c>
      <c r="H479" s="4" t="n">
        <f aca="false">IFERROR(IF(AND(VLOOKUP($B479,Ref_Acuerdos!$A:$E,2,FALSE())="FTA",$A479&gt;=VLOOKUP($B479,Ref_Acuerdos!$A:$E,3,FALSE())),1,0),0)</f>
        <v>0</v>
      </c>
      <c r="I479" s="4" t="n">
        <f aca="false">IFERROR(IF(AND(VLOOKUP($B479,Ref_Acuerdos!$A:$E,2,FALSE())="PTA",$A479&gt;=VLOOKUP($B479,Ref_Acuerdos!$A:$E,3,FALSE())),1,0),0)</f>
        <v>0</v>
      </c>
      <c r="J479" s="7" t="str">
        <f aca="false">IFERROR(IF($A479&gt;=VLOOKUP($B479,Ref_Acuerdos!$A:$E,3,FALSE()),VLOOKUP($B479,Ref_Acuerdos!$A:$E,4,FALSE()),""),"")</f>
        <v/>
      </c>
      <c r="K479" s="4" t="str">
        <f aca="false">IFERROR(IF($A479&gt;=VLOOKUP($B479,Ref_Acuerdos!$A:$E,3,FALSE()),VLOOKUP($B479,Ref_Acuerdos!$A:$E,5,FALSE()),"Sin FTA/PTA vigente ese año - arancel NMF"),"Sin FTA/PTA identificado - arancel NMF")</f>
        <v>Sin FTA/PTA vigente ese año - arancel NMF</v>
      </c>
    </row>
    <row r="480" customFormat="false" ht="15" hidden="false" customHeight="false" outlineLevel="0" collapsed="false">
      <c r="A480" s="2" t="n">
        <v>2016</v>
      </c>
      <c r="B480" s="2" t="s">
        <v>86</v>
      </c>
      <c r="C480" s="4" t="str">
        <f aca="false">IFERROR(VLOOKUP($B480,Ref_Continente!$A:$B,2,FALSE()),"Sin clasificar")</f>
        <v>North America</v>
      </c>
      <c r="D480" s="5" t="n">
        <v>33333</v>
      </c>
      <c r="E480" s="6" t="n">
        <v>8929</v>
      </c>
      <c r="F480" s="6" t="n">
        <v>1020</v>
      </c>
      <c r="G480" s="5" t="n">
        <v>59760858717.84</v>
      </c>
      <c r="H480" s="4" t="n">
        <f aca="false">IFERROR(IF(AND(VLOOKUP($B480,Ref_Acuerdos!$A:$E,2,FALSE())="FTA",$A480&gt;=VLOOKUP($B480,Ref_Acuerdos!$A:$E,3,FALSE())),1,0),0)</f>
        <v>0</v>
      </c>
      <c r="I480" s="4" t="n">
        <f aca="false">IFERROR(IF(AND(VLOOKUP($B480,Ref_Acuerdos!$A:$E,2,FALSE())="PTA",$A480&gt;=VLOOKUP($B480,Ref_Acuerdos!$A:$E,3,FALSE())),1,0),0)</f>
        <v>1</v>
      </c>
      <c r="J480" s="7" t="n">
        <f aca="false">IFERROR(IF($A480&gt;=VLOOKUP($B480,Ref_Acuerdos!$A:$E,3,FALSE()),VLOOKUP($B480,Ref_Acuerdos!$A:$E,4,FALSE()),""),"")</f>
        <v>10</v>
      </c>
      <c r="K480" s="4" t="str">
        <f aca="false">IFERROR(IF($A480&gt;=VLOOKUP($B480,Ref_Acuerdos!$A:$E,3,FALSE()),VLOOKUP($B480,Ref_Acuerdos!$A:$E,5,FALSE()),"Sin FTA/PTA vigente ese año - arancel NMF"),"Sin FTA/PTA identificado - arancel NMF")</f>
        <v>ALADI - Acuerdo de Alcance Parcial (preferencia limitada, tarifa referencial)</v>
      </c>
    </row>
    <row r="481" customFormat="false" ht="15" hidden="false" customHeight="false" outlineLevel="0" collapsed="false">
      <c r="A481" s="2" t="n">
        <v>2016</v>
      </c>
      <c r="B481" s="2" t="s">
        <v>32</v>
      </c>
      <c r="C481" s="4" t="str">
        <f aca="false">IFERROR(VLOOKUP($B481,Ref_Continente!$A:$B,2,FALSE()),"Sin clasificar")</f>
        <v>North America</v>
      </c>
      <c r="D481" s="5" t="n">
        <v>33284</v>
      </c>
      <c r="E481" s="6" t="n">
        <v>6273</v>
      </c>
      <c r="F481" s="6" t="n">
        <v>2450</v>
      </c>
      <c r="G481" s="5" t="n">
        <v>91370407900</v>
      </c>
      <c r="H481" s="4" t="n">
        <f aca="false">IFERROR(IF(AND(VLOOKUP($B481,Ref_Acuerdos!$A:$E,2,FALSE())="FTA",$A481&gt;=VLOOKUP($B481,Ref_Acuerdos!$A:$E,3,FALSE())),1,0),0)</f>
        <v>0</v>
      </c>
      <c r="I481" s="4" t="n">
        <f aca="false">IFERROR(IF(AND(VLOOKUP($B481,Ref_Acuerdos!$A:$E,2,FALSE())="PTA",$A481&gt;=VLOOKUP($B481,Ref_Acuerdos!$A:$E,3,FALSE())),1,0),0)</f>
        <v>1</v>
      </c>
      <c r="J481" s="7" t="n">
        <f aca="false">IFERROR(IF($A481&gt;=VLOOKUP($B481,Ref_Acuerdos!$A:$E,3,FALSE()),VLOOKUP($B481,Ref_Acuerdos!$A:$E,4,FALSE()),""),"")</f>
        <v>10</v>
      </c>
      <c r="K481" s="4" t="str">
        <f aca="false">IFERROR(IF($A481&gt;=VLOOKUP($B481,Ref_Acuerdos!$A:$E,3,FALSE()),VLOOKUP($B481,Ref_Acuerdos!$A:$E,5,FALSE()),"Sin FTA/PTA vigente ese año - arancel NMF"),"Sin FTA/PTA identificado - arancel NMF")</f>
        <v>ALADI - Acuerdo de Alcance Parcial (preferencia limitada, tarifa referencial)</v>
      </c>
    </row>
    <row r="482" customFormat="false" ht="15" hidden="false" customHeight="false" outlineLevel="0" collapsed="false">
      <c r="A482" s="2" t="n">
        <v>2016</v>
      </c>
      <c r="B482" s="2" t="s">
        <v>80</v>
      </c>
      <c r="C482" s="4" t="str">
        <f aca="false">IFERROR(VLOOKUP($B482,Ref_Continente!$A:$B,2,FALSE()),"Sin clasificar")</f>
        <v>North America</v>
      </c>
      <c r="D482" s="5" t="n">
        <v>32896</v>
      </c>
      <c r="E482" s="6" t="n">
        <v>6342</v>
      </c>
      <c r="F482" s="6" t="n">
        <v>1730</v>
      </c>
      <c r="G482" s="5" t="n">
        <v>13286093388.48</v>
      </c>
      <c r="H482" s="4" t="n">
        <f aca="false">IFERROR(IF(AND(VLOOKUP($B482,Ref_Acuerdos!$A:$E,2,FALSE())="FTA",$A482&gt;=VLOOKUP($B482,Ref_Acuerdos!$A:$E,3,FALSE())),1,0),0)</f>
        <v>0</v>
      </c>
      <c r="I482" s="4" t="n">
        <f aca="false">IFERROR(IF(AND(VLOOKUP($B482,Ref_Acuerdos!$A:$E,2,FALSE())="PTA",$A482&gt;=VLOOKUP($B482,Ref_Acuerdos!$A:$E,3,FALSE())),1,0),0)</f>
        <v>1</v>
      </c>
      <c r="J482" s="7" t="n">
        <f aca="false">IFERROR(IF($A482&gt;=VLOOKUP($B482,Ref_Acuerdos!$A:$E,3,FALSE()),VLOOKUP($B482,Ref_Acuerdos!$A:$E,4,FALSE()),""),"")</f>
        <v>10</v>
      </c>
      <c r="K482" s="4" t="str">
        <f aca="false">IFERROR(IF($A482&gt;=VLOOKUP($B482,Ref_Acuerdos!$A:$E,3,FALSE()),VLOOKUP($B482,Ref_Acuerdos!$A:$E,5,FALSE()),"Sin FTA/PTA vigente ese año - arancel NMF"),"Sin FTA/PTA identificado - arancel NMF")</f>
        <v>ALADI - Acuerdo de Alcance Parcial (preferencia limitada, tarifa referencial)</v>
      </c>
    </row>
    <row r="483" customFormat="false" ht="15" hidden="false" customHeight="false" outlineLevel="0" collapsed="false">
      <c r="A483" s="2" t="n">
        <v>2016</v>
      </c>
      <c r="B483" s="2" t="s">
        <v>92</v>
      </c>
      <c r="C483" s="4" t="str">
        <f aca="false">IFERROR(VLOOKUP($B483,Ref_Continente!$A:$B,2,FALSE()),"Sin clasificar")</f>
        <v>Asia</v>
      </c>
      <c r="D483" s="5" t="n">
        <v>26285</v>
      </c>
      <c r="E483" s="6" t="n">
        <v>5834</v>
      </c>
      <c r="F483" s="6" t="n">
        <v>14000</v>
      </c>
      <c r="G483" s="5" t="n">
        <v>151732142857.14</v>
      </c>
      <c r="H483" s="4" t="n">
        <f aca="false">IFERROR(IF(AND(VLOOKUP($B483,Ref_Acuerdos!$A:$E,2,FALSE())="FTA",$A483&gt;=VLOOKUP($B483,Ref_Acuerdos!$A:$E,3,FALSE())),1,0),0)</f>
        <v>0</v>
      </c>
      <c r="I483" s="4" t="n">
        <f aca="false">IFERROR(IF(AND(VLOOKUP($B483,Ref_Acuerdos!$A:$E,2,FALSE())="PTA",$A483&gt;=VLOOKUP($B483,Ref_Acuerdos!$A:$E,3,FALSE())),1,0),0)</f>
        <v>0</v>
      </c>
      <c r="J483" s="7" t="str">
        <f aca="false">IFERROR(IF($A483&gt;=VLOOKUP($B483,Ref_Acuerdos!$A:$E,3,FALSE()),VLOOKUP($B483,Ref_Acuerdos!$A:$E,4,FALSE()),""),"")</f>
        <v/>
      </c>
      <c r="K483" s="4" t="str">
        <f aca="false">IFERROR(IF($A483&gt;=VLOOKUP($B483,Ref_Acuerdos!$A:$E,3,FALSE()),VLOOKUP($B483,Ref_Acuerdos!$A:$E,5,FALSE()),"Sin FTA/PTA vigente ese año - arancel NMF"),"Sin FTA/PTA identificado - arancel NMF")</f>
        <v>Sin FTA/PTA identificado - arancel NMF</v>
      </c>
    </row>
    <row r="484" customFormat="false" ht="15" hidden="false" customHeight="false" outlineLevel="0" collapsed="false">
      <c r="A484" s="2" t="n">
        <v>2016</v>
      </c>
      <c r="B484" s="2" t="s">
        <v>68</v>
      </c>
      <c r="C484" s="4" t="str">
        <f aca="false">IFERROR(VLOOKUP($B484,Ref_Continente!$A:$B,2,FALSE()),"Sin clasificar")</f>
        <v>Europe</v>
      </c>
      <c r="D484" s="5" t="n">
        <v>24203</v>
      </c>
      <c r="E484" s="6" t="n">
        <v>6216</v>
      </c>
      <c r="F484" s="6" t="n">
        <v>10250</v>
      </c>
      <c r="G484" s="5" t="n">
        <v>42970749245.03</v>
      </c>
      <c r="H484" s="4" t="n">
        <f aca="false">IFERROR(IF(AND(VLOOKUP($B484,Ref_Acuerdos!$A:$E,2,FALSE())="FTA",$A484&gt;=VLOOKUP($B484,Ref_Acuerdos!$A:$E,3,FALSE())),1,0),0)</f>
        <v>0</v>
      </c>
      <c r="I484" s="4" t="n">
        <f aca="false">IFERROR(IF(AND(VLOOKUP($B484,Ref_Acuerdos!$A:$E,2,FALSE())="PTA",$A484&gt;=VLOOKUP($B484,Ref_Acuerdos!$A:$E,3,FALSE())),1,0),0)</f>
        <v>0</v>
      </c>
      <c r="J484" s="7" t="str">
        <f aca="false">IFERROR(IF($A484&gt;=VLOOKUP($B484,Ref_Acuerdos!$A:$E,3,FALSE()),VLOOKUP($B484,Ref_Acuerdos!$A:$E,4,FALSE()),""),"")</f>
        <v/>
      </c>
      <c r="K484" s="4" t="str">
        <f aca="false">IFERROR(IF($A484&gt;=VLOOKUP($B484,Ref_Acuerdos!$A:$E,3,FALSE()),VLOOKUP($B484,Ref_Acuerdos!$A:$E,5,FALSE()),"Sin FTA/PTA vigente ese año - arancel NMF"),"Sin FTA/PTA identificado - arancel NMF")</f>
        <v>Sin FTA/PTA vigente ese año - arancel NMF</v>
      </c>
    </row>
    <row r="485" customFormat="false" ht="15" hidden="false" customHeight="false" outlineLevel="0" collapsed="false">
      <c r="A485" s="2" t="n">
        <v>2016</v>
      </c>
      <c r="B485" s="2" t="s">
        <v>88</v>
      </c>
      <c r="C485" s="4" t="str">
        <f aca="false">IFERROR(VLOOKUP($B485,Ref_Continente!$A:$B,2,FALSE()),"Sin clasificar")</f>
        <v>South America</v>
      </c>
      <c r="D485" s="5" t="n">
        <v>24104</v>
      </c>
      <c r="E485" s="6" t="n">
        <v>13199</v>
      </c>
      <c r="F485" s="6" t="n">
        <v>1320</v>
      </c>
      <c r="G485" s="5" t="n">
        <v>191898104390.38</v>
      </c>
      <c r="H485" s="4" t="n">
        <f aca="false">IFERROR(IF(AND(VLOOKUP($B485,Ref_Acuerdos!$A:$E,2,FALSE())="FTA",$A485&gt;=VLOOKUP($B485,Ref_Acuerdos!$A:$E,3,FALSE())),1,0),0)</f>
        <v>0</v>
      </c>
      <c r="I485" s="4" t="n">
        <f aca="false">IFERROR(IF(AND(VLOOKUP($B485,Ref_Acuerdos!$A:$E,2,FALSE())="PTA",$A485&gt;=VLOOKUP($B485,Ref_Acuerdos!$A:$E,3,FALSE())),1,0),0)</f>
        <v>1</v>
      </c>
      <c r="J485" s="7" t="n">
        <f aca="false">IFERROR(IF($A485&gt;=VLOOKUP($B485,Ref_Acuerdos!$A:$E,3,FALSE()),VLOOKUP($B485,Ref_Acuerdos!$A:$E,4,FALSE()),""),"")</f>
        <v>0</v>
      </c>
      <c r="K485" s="4" t="str">
        <f aca="false">IFERROR(IF($A485&gt;=VLOOKUP($B485,Ref_Acuerdos!$A:$E,3,FALSE()),VLOOKUP($B485,Ref_Acuerdos!$A:$E,5,FALSE()),"Sin FTA/PTA vigente ese año - arancel NMF"),"Sin FTA/PTA identificado - arancel NMF")</f>
        <v>Comunidad Andina (CAN) - libre comercio intracomunitario</v>
      </c>
    </row>
    <row r="486" customFormat="false" ht="15" hidden="false" customHeight="false" outlineLevel="0" collapsed="false">
      <c r="A486" s="2" t="n">
        <v>2016</v>
      </c>
      <c r="B486" s="2" t="s">
        <v>95</v>
      </c>
      <c r="C486" s="4" t="str">
        <f aca="false">IFERROR(VLOOKUP($B486,Ref_Continente!$A:$B,2,FALSE()),"Sin clasificar")</f>
        <v>Europe</v>
      </c>
      <c r="D486" s="5" t="n">
        <v>17161</v>
      </c>
      <c r="E486" s="6" t="n">
        <v>4278</v>
      </c>
      <c r="F486" s="6" t="n">
        <v>11300</v>
      </c>
      <c r="G486" s="5" t="n">
        <v>185290759248.84</v>
      </c>
      <c r="H486" s="4" t="n">
        <f aca="false">IFERROR(IF(AND(VLOOKUP($B486,Ref_Acuerdos!$A:$E,2,FALSE())="FTA",$A486&gt;=VLOOKUP($B486,Ref_Acuerdos!$A:$E,3,FALSE())),1,0),0)</f>
        <v>0</v>
      </c>
      <c r="I486" s="4" t="n">
        <f aca="false">IFERROR(IF(AND(VLOOKUP($B486,Ref_Acuerdos!$A:$E,2,FALSE())="PTA",$A486&gt;=VLOOKUP($B486,Ref_Acuerdos!$A:$E,3,FALSE())),1,0),0)</f>
        <v>0</v>
      </c>
      <c r="J486" s="7" t="str">
        <f aca="false">IFERROR(IF($A486&gt;=VLOOKUP($B486,Ref_Acuerdos!$A:$E,3,FALSE()),VLOOKUP($B486,Ref_Acuerdos!$A:$E,4,FALSE()),""),"")</f>
        <v/>
      </c>
      <c r="K486" s="4" t="str">
        <f aca="false">IFERROR(IF($A486&gt;=VLOOKUP($B486,Ref_Acuerdos!$A:$E,3,FALSE()),VLOOKUP($B486,Ref_Acuerdos!$A:$E,5,FALSE()),"Sin FTA/PTA vigente ese año - arancel NMF"),"Sin FTA/PTA identificado - arancel NMF")</f>
        <v>Sin FTA/PTA vigente ese año - arancel NMF</v>
      </c>
    </row>
    <row r="487" customFormat="false" ht="15" hidden="false" customHeight="false" outlineLevel="0" collapsed="false">
      <c r="A487" s="2" t="n">
        <v>2016</v>
      </c>
      <c r="B487" s="2" t="s">
        <v>116</v>
      </c>
      <c r="C487" s="4" t="str">
        <f aca="false">IFERROR(VLOOKUP($B487,Ref_Continente!$A:$B,2,FALSE()),"Sin clasificar")</f>
        <v>Asia</v>
      </c>
      <c r="D487" s="5" t="n">
        <v>15351</v>
      </c>
      <c r="E487" s="6" t="n">
        <v>4172</v>
      </c>
      <c r="F487" s="6" t="n">
        <v>14200</v>
      </c>
      <c r="G487" s="5" t="n">
        <v>381717086453.37</v>
      </c>
      <c r="H487" s="4" t="n">
        <f aca="false">IFERROR(IF(AND(VLOOKUP($B487,Ref_Acuerdos!$A:$E,2,FALSE())="FTA",$A487&gt;=VLOOKUP($B487,Ref_Acuerdos!$A:$E,3,FALSE())),1,0),0)</f>
        <v>0</v>
      </c>
      <c r="I487" s="4" t="n">
        <f aca="false">IFERROR(IF(AND(VLOOKUP($B487,Ref_Acuerdos!$A:$E,2,FALSE())="PTA",$A487&gt;=VLOOKUP($B487,Ref_Acuerdos!$A:$E,3,FALSE())),1,0),0)</f>
        <v>0</v>
      </c>
      <c r="J487" s="7" t="str">
        <f aca="false">IFERROR(IF($A487&gt;=VLOOKUP($B487,Ref_Acuerdos!$A:$E,3,FALSE()),VLOOKUP($B487,Ref_Acuerdos!$A:$E,4,FALSE()),""),"")</f>
        <v/>
      </c>
      <c r="K487" s="4" t="str">
        <f aca="false">IFERROR(IF($A487&gt;=VLOOKUP($B487,Ref_Acuerdos!$A:$E,3,FALSE()),VLOOKUP($B487,Ref_Acuerdos!$A:$E,5,FALSE()),"Sin FTA/PTA vigente ese año - arancel NMF"),"Sin FTA/PTA identificado - arancel NMF")</f>
        <v>Sin FTA/PTA identificado - arancel NMF</v>
      </c>
    </row>
    <row r="488" customFormat="false" ht="15" hidden="false" customHeight="false" outlineLevel="0" collapsed="false">
      <c r="A488" s="2" t="n">
        <v>2016</v>
      </c>
      <c r="B488" s="2" t="s">
        <v>64</v>
      </c>
      <c r="C488" s="4" t="str">
        <f aca="false">IFERROR(VLOOKUP($B488,Ref_Continente!$A:$B,2,FALSE()),"Sin clasificar")</f>
        <v>Asia</v>
      </c>
      <c r="D488" s="5" t="n">
        <v>13774</v>
      </c>
      <c r="E488" s="6" t="n">
        <v>3092</v>
      </c>
      <c r="F488" s="6" t="n">
        <v>13500</v>
      </c>
      <c r="G488" s="5" t="n">
        <v>109406674124.65</v>
      </c>
      <c r="H488" s="4" t="n">
        <f aca="false">IFERROR(IF(AND(VLOOKUP($B488,Ref_Acuerdos!$A:$E,2,FALSE())="FTA",$A488&gt;=VLOOKUP($B488,Ref_Acuerdos!$A:$E,3,FALSE())),1,0),0)</f>
        <v>0</v>
      </c>
      <c r="I488" s="4" t="n">
        <f aca="false">IFERROR(IF(AND(VLOOKUP($B488,Ref_Acuerdos!$A:$E,2,FALSE())="PTA",$A488&gt;=VLOOKUP($B488,Ref_Acuerdos!$A:$E,3,FALSE())),1,0),0)</f>
        <v>0</v>
      </c>
      <c r="J488" s="7" t="str">
        <f aca="false">IFERROR(IF($A488&gt;=VLOOKUP($B488,Ref_Acuerdos!$A:$E,3,FALSE()),VLOOKUP($B488,Ref_Acuerdos!$A:$E,4,FALSE()),""),"")</f>
        <v/>
      </c>
      <c r="K488" s="4" t="str">
        <f aca="false">IFERROR(IF($A488&gt;=VLOOKUP($B488,Ref_Acuerdos!$A:$E,3,FALSE()),VLOOKUP($B488,Ref_Acuerdos!$A:$E,5,FALSE()),"Sin FTA/PTA vigente ese año - arancel NMF"),"Sin FTA/PTA identificado - arancel NMF")</f>
        <v>Sin FTA/PTA identificado - arancel NMF</v>
      </c>
    </row>
    <row r="489" customFormat="false" ht="15" hidden="false" customHeight="false" outlineLevel="0" collapsed="false">
      <c r="A489" s="2" t="n">
        <v>2016</v>
      </c>
      <c r="B489" s="2" t="s">
        <v>16</v>
      </c>
      <c r="C489" s="4" t="str">
        <f aca="false">IFERROR(VLOOKUP($B489,Ref_Continente!$A:$B,2,FALSE()),"Sin clasificar")</f>
        <v>Asia</v>
      </c>
      <c r="D489" s="5" t="n">
        <v>11506</v>
      </c>
      <c r="E489" s="6" t="n">
        <v>2793</v>
      </c>
      <c r="F489" s="6" t="n">
        <v>13100</v>
      </c>
      <c r="G489" s="5" t="n">
        <v>37866996882.92</v>
      </c>
      <c r="H489" s="4" t="n">
        <f aca="false">IFERROR(IF(AND(VLOOKUP($B489,Ref_Acuerdos!$A:$E,2,FALSE())="FTA",$A489&gt;=VLOOKUP($B489,Ref_Acuerdos!$A:$E,3,FALSE())),1,0),0)</f>
        <v>0</v>
      </c>
      <c r="I489" s="4" t="n">
        <f aca="false">IFERROR(IF(AND(VLOOKUP($B489,Ref_Acuerdos!$A:$E,2,FALSE())="PTA",$A489&gt;=VLOOKUP($B489,Ref_Acuerdos!$A:$E,3,FALSE())),1,0),0)</f>
        <v>0</v>
      </c>
      <c r="J489" s="7" t="str">
        <f aca="false">IFERROR(IF($A489&gt;=VLOOKUP($B489,Ref_Acuerdos!$A:$E,3,FALSE()),VLOOKUP($B489,Ref_Acuerdos!$A:$E,4,FALSE()),""),"")</f>
        <v/>
      </c>
      <c r="K489" s="4" t="str">
        <f aca="false">IFERROR(IF($A489&gt;=VLOOKUP($B489,Ref_Acuerdos!$A:$E,3,FALSE()),VLOOKUP($B489,Ref_Acuerdos!$A:$E,5,FALSE()),"Sin FTA/PTA vigente ese año - arancel NMF"),"Sin FTA/PTA identificado - arancel NMF")</f>
        <v>Sin FTA/PTA identificado - arancel NMF</v>
      </c>
    </row>
    <row r="490" customFormat="false" ht="15" hidden="false" customHeight="false" outlineLevel="0" collapsed="false">
      <c r="A490" s="2" t="n">
        <v>2016</v>
      </c>
      <c r="B490" s="2" t="s">
        <v>45</v>
      </c>
      <c r="C490" s="4" t="str">
        <f aca="false">IFERROR(VLOOKUP($B490,Ref_Continente!$A:$B,2,FALSE()),"Sin clasificar")</f>
        <v>Europe</v>
      </c>
      <c r="D490" s="5" t="n">
        <v>10885</v>
      </c>
      <c r="E490" s="6" t="n">
        <v>3094</v>
      </c>
      <c r="F490" s="6" t="n">
        <v>9650</v>
      </c>
      <c r="G490" s="5" t="n">
        <v>3536787895179</v>
      </c>
      <c r="H490" s="4" t="n">
        <f aca="false">IFERROR(IF(AND(VLOOKUP($B490,Ref_Acuerdos!$A:$E,2,FALSE())="FTA",$A490&gt;=VLOOKUP($B490,Ref_Acuerdos!$A:$E,3,FALSE())),1,0),0)</f>
        <v>0</v>
      </c>
      <c r="I490" s="4" t="n">
        <f aca="false">IFERROR(IF(AND(VLOOKUP($B490,Ref_Acuerdos!$A:$E,2,FALSE())="PTA",$A490&gt;=VLOOKUP($B490,Ref_Acuerdos!$A:$E,3,FALSE())),1,0),0)</f>
        <v>0</v>
      </c>
      <c r="J490" s="7" t="str">
        <f aca="false">IFERROR(IF($A490&gt;=VLOOKUP($B490,Ref_Acuerdos!$A:$E,3,FALSE()),VLOOKUP($B490,Ref_Acuerdos!$A:$E,4,FALSE()),""),"")</f>
        <v/>
      </c>
      <c r="K490" s="4" t="str">
        <f aca="false">IFERROR(IF($A490&gt;=VLOOKUP($B490,Ref_Acuerdos!$A:$E,3,FALSE()),VLOOKUP($B490,Ref_Acuerdos!$A:$E,5,FALSE()),"Sin FTA/PTA vigente ese año - arancel NMF"),"Sin FTA/PTA identificado - arancel NMF")</f>
        <v>Sin FTA/PTA vigente ese año - arancel NMF</v>
      </c>
    </row>
    <row r="491" customFormat="false" ht="15" hidden="false" customHeight="false" outlineLevel="0" collapsed="false">
      <c r="A491" s="2" t="n">
        <v>2016</v>
      </c>
      <c r="B491" s="2" t="s">
        <v>94</v>
      </c>
      <c r="C491" s="4" t="str">
        <f aca="false">IFERROR(VLOOKUP($B491,Ref_Continente!$A:$B,2,FALSE()),"Sin clasificar")</f>
        <v>Europe</v>
      </c>
      <c r="D491" s="5" t="n">
        <v>9609</v>
      </c>
      <c r="E491" s="6" t="n">
        <v>3432</v>
      </c>
      <c r="F491" s="6" t="n">
        <v>11000</v>
      </c>
      <c r="G491" s="5" t="n">
        <v>7980917075.77</v>
      </c>
      <c r="H491" s="4" t="n">
        <f aca="false">IFERROR(IF(AND(VLOOKUP($B491,Ref_Acuerdos!$A:$E,2,FALSE())="FTA",$A491&gt;=VLOOKUP($B491,Ref_Acuerdos!$A:$E,3,FALSE())),1,0),0)</f>
        <v>0</v>
      </c>
      <c r="I491" s="4" t="n">
        <f aca="false">IFERROR(IF(AND(VLOOKUP($B491,Ref_Acuerdos!$A:$E,2,FALSE())="PTA",$A491&gt;=VLOOKUP($B491,Ref_Acuerdos!$A:$E,3,FALSE())),1,0),0)</f>
        <v>0</v>
      </c>
      <c r="J491" s="7" t="str">
        <f aca="false">IFERROR(IF($A491&gt;=VLOOKUP($B491,Ref_Acuerdos!$A:$E,3,FALSE()),VLOOKUP($B491,Ref_Acuerdos!$A:$E,4,FALSE()),""),"")</f>
        <v/>
      </c>
      <c r="K491" s="4" t="str">
        <f aca="false">IFERROR(IF($A491&gt;=VLOOKUP($B491,Ref_Acuerdos!$A:$E,3,FALSE()),VLOOKUP($B491,Ref_Acuerdos!$A:$E,5,FALSE()),"Sin FTA/PTA vigente ese año - arancel NMF"),"Sin FTA/PTA identificado - arancel NMF")</f>
        <v>Sin FTA/PTA identificado - arancel NMF</v>
      </c>
    </row>
    <row r="492" customFormat="false" ht="15" hidden="false" customHeight="false" outlineLevel="0" collapsed="false">
      <c r="A492" s="2" t="n">
        <v>2016</v>
      </c>
      <c r="B492" s="2" t="s">
        <v>111</v>
      </c>
      <c r="C492" s="4" t="str">
        <f aca="false">IFERROR(VLOOKUP($B492,Ref_Continente!$A:$B,2,FALSE()),"Sin clasificar")</f>
        <v>North America</v>
      </c>
      <c r="D492" s="5" t="n">
        <v>8462</v>
      </c>
      <c r="E492" s="6" t="n">
        <v>15</v>
      </c>
      <c r="F492" s="6" t="n">
        <v>2530</v>
      </c>
      <c r="G492" s="5" t="n">
        <v>23624322192.63</v>
      </c>
      <c r="H492" s="4" t="n">
        <f aca="false">IFERROR(IF(AND(VLOOKUP($B492,Ref_Acuerdos!$A:$E,2,FALSE())="FTA",$A492&gt;=VLOOKUP($B492,Ref_Acuerdos!$A:$E,3,FALSE())),1,0),0)</f>
        <v>0</v>
      </c>
      <c r="I492" s="4" t="n">
        <f aca="false">IFERROR(IF(AND(VLOOKUP($B492,Ref_Acuerdos!$A:$E,2,FALSE())="PTA",$A492&gt;=VLOOKUP($B492,Ref_Acuerdos!$A:$E,3,FALSE())),1,0),0)</f>
        <v>0</v>
      </c>
      <c r="J492" s="7" t="str">
        <f aca="false">IFERROR(IF($A492&gt;=VLOOKUP($B492,Ref_Acuerdos!$A:$E,3,FALSE()),VLOOKUP($B492,Ref_Acuerdos!$A:$E,4,FALSE()),""),"")</f>
        <v/>
      </c>
      <c r="K492" s="4" t="str">
        <f aca="false">IFERROR(IF($A492&gt;=VLOOKUP($B492,Ref_Acuerdos!$A:$E,3,FALSE()),VLOOKUP($B492,Ref_Acuerdos!$A:$E,5,FALSE()),"Sin FTA/PTA vigente ese año - arancel NMF"),"Sin FTA/PTA identificado - arancel NMF")</f>
        <v>Sin FTA/PTA identificado - arancel NMF</v>
      </c>
    </row>
    <row r="493" customFormat="false" ht="15" hidden="false" customHeight="false" outlineLevel="0" collapsed="false">
      <c r="A493" s="2" t="n">
        <v>2016</v>
      </c>
      <c r="B493" s="2" t="s">
        <v>65</v>
      </c>
      <c r="C493" s="4" t="str">
        <f aca="false">IFERROR(VLOOKUP($B493,Ref_Continente!$A:$B,2,FALSE()),"Sin clasificar")</f>
        <v>Asia</v>
      </c>
      <c r="D493" s="5" t="n">
        <v>5487</v>
      </c>
      <c r="E493" s="6" t="n">
        <v>174</v>
      </c>
      <c r="F493" s="6" t="n">
        <v>14300</v>
      </c>
      <c r="G493" s="5"/>
      <c r="H493" s="4" t="n">
        <f aca="false">IFERROR(IF(AND(VLOOKUP($B493,Ref_Acuerdos!$A:$E,2,FALSE())="FTA",$A493&gt;=VLOOKUP($B493,Ref_Acuerdos!$A:$E,3,FALSE())),1,0),0)</f>
        <v>0</v>
      </c>
      <c r="I493" s="4" t="n">
        <f aca="false">IFERROR(IF(AND(VLOOKUP($B493,Ref_Acuerdos!$A:$E,2,FALSE())="PTA",$A493&gt;=VLOOKUP($B493,Ref_Acuerdos!$A:$E,3,FALSE())),1,0),0)</f>
        <v>0</v>
      </c>
      <c r="J493" s="7" t="str">
        <f aca="false">IFERROR(IF($A493&gt;=VLOOKUP($B493,Ref_Acuerdos!$A:$E,3,FALSE()),VLOOKUP($B493,Ref_Acuerdos!$A:$E,4,FALSE()),""),"")</f>
        <v/>
      </c>
      <c r="K493" s="4" t="str">
        <f aca="false">IFERROR(IF($A493&gt;=VLOOKUP($B493,Ref_Acuerdos!$A:$E,3,FALSE()),VLOOKUP($B493,Ref_Acuerdos!$A:$E,5,FALSE()),"Sin FTA/PTA vigente ese año - arancel NMF"),"Sin FTA/PTA identificado - arancel NMF")</f>
        <v>Sin FTA/PTA identificado - arancel NMF</v>
      </c>
    </row>
    <row r="494" customFormat="false" ht="15" hidden="false" customHeight="false" outlineLevel="0" collapsed="false">
      <c r="A494" s="2" t="n">
        <v>2016</v>
      </c>
      <c r="B494" s="2" t="s">
        <v>91</v>
      </c>
      <c r="C494" s="4" t="str">
        <f aca="false">IFERROR(VLOOKUP($B494,Ref_Continente!$A:$B,2,FALSE()),"Sin clasificar")</f>
        <v>Europe</v>
      </c>
      <c r="D494" s="5" t="n">
        <v>5380</v>
      </c>
      <c r="E494" s="6" t="n">
        <v>382</v>
      </c>
      <c r="F494" s="6" t="n">
        <v>8700</v>
      </c>
      <c r="G494" s="5" t="n">
        <v>206305431241.64</v>
      </c>
      <c r="H494" s="4" t="n">
        <f aca="false">IFERROR(IF(AND(VLOOKUP($B494,Ref_Acuerdos!$A:$E,2,FALSE())="FTA",$A494&gt;=VLOOKUP($B494,Ref_Acuerdos!$A:$E,3,FALSE())),1,0),0)</f>
        <v>0</v>
      </c>
      <c r="I494" s="4" t="n">
        <f aca="false">IFERROR(IF(AND(VLOOKUP($B494,Ref_Acuerdos!$A:$E,2,FALSE())="PTA",$A494&gt;=VLOOKUP($B494,Ref_Acuerdos!$A:$E,3,FALSE())),1,0),0)</f>
        <v>0</v>
      </c>
      <c r="J494" s="7" t="str">
        <f aca="false">IFERROR(IF($A494&gt;=VLOOKUP($B494,Ref_Acuerdos!$A:$E,3,FALSE()),VLOOKUP($B494,Ref_Acuerdos!$A:$E,4,FALSE()),""),"")</f>
        <v/>
      </c>
      <c r="K494" s="4" t="str">
        <f aca="false">IFERROR(IF($A494&gt;=VLOOKUP($B494,Ref_Acuerdos!$A:$E,3,FALSE()),VLOOKUP($B494,Ref_Acuerdos!$A:$E,5,FALSE()),"Sin FTA/PTA vigente ese año - arancel NMF"),"Sin FTA/PTA identificado - arancel NMF")</f>
        <v>Sin FTA/PTA vigente ese año - arancel NMF</v>
      </c>
    </row>
    <row r="495" customFormat="false" ht="15" hidden="false" customHeight="false" outlineLevel="0" collapsed="false">
      <c r="A495" s="2" t="n">
        <v>2016</v>
      </c>
      <c r="B495" s="2" t="s">
        <v>39</v>
      </c>
      <c r="C495" s="4" t="str">
        <f aca="false">IFERROR(VLOOKUP($B495,Ref_Continente!$A:$B,2,FALSE()),"Sin clasificar")</f>
        <v>North America</v>
      </c>
      <c r="D495" s="5" t="n">
        <v>5341</v>
      </c>
      <c r="E495" s="6" t="n">
        <v>402</v>
      </c>
      <c r="F495" s="6" t="n">
        <v>2000</v>
      </c>
      <c r="G495" s="5" t="n">
        <v>24191430000</v>
      </c>
      <c r="H495" s="4" t="n">
        <f aca="false">IFERROR(IF(AND(VLOOKUP($B495,Ref_Acuerdos!$A:$E,2,FALSE())="FTA",$A495&gt;=VLOOKUP($B495,Ref_Acuerdos!$A:$E,3,FALSE())),1,0),0)</f>
        <v>0</v>
      </c>
      <c r="I495" s="4" t="n">
        <f aca="false">IFERROR(IF(AND(VLOOKUP($B495,Ref_Acuerdos!$A:$E,2,FALSE())="PTA",$A495&gt;=VLOOKUP($B495,Ref_Acuerdos!$A:$E,3,FALSE())),1,0),0)</f>
        <v>0</v>
      </c>
      <c r="J495" s="7" t="str">
        <f aca="false">IFERROR(IF($A495&gt;=VLOOKUP($B495,Ref_Acuerdos!$A:$E,3,FALSE()),VLOOKUP($B495,Ref_Acuerdos!$A:$E,4,FALSE()),""),"")</f>
        <v/>
      </c>
      <c r="K495" s="4" t="str">
        <f aca="false">IFERROR(IF($A495&gt;=VLOOKUP($B495,Ref_Acuerdos!$A:$E,3,FALSE()),VLOOKUP($B495,Ref_Acuerdos!$A:$E,5,FALSE()),"Sin FTA/PTA vigente ese año - arancel NMF"),"Sin FTA/PTA identificado - arancel NMF")</f>
        <v>Sin FTA/PTA identificado - arancel NMF</v>
      </c>
    </row>
    <row r="496" customFormat="false" ht="15" hidden="false" customHeight="false" outlineLevel="0" collapsed="false">
      <c r="A496" s="2" t="n">
        <v>2016</v>
      </c>
      <c r="B496" s="2" t="s">
        <v>71</v>
      </c>
      <c r="C496" s="4" t="str">
        <f aca="false">IFERROR(VLOOKUP($B496,Ref_Continente!$A:$B,2,FALSE()),"Sin clasificar")</f>
        <v>Asia</v>
      </c>
      <c r="D496" s="5" t="n">
        <v>4100</v>
      </c>
      <c r="E496" s="6" t="n">
        <v>1038</v>
      </c>
      <c r="F496" s="6" t="n">
        <v>17100</v>
      </c>
      <c r="G496" s="5" t="n">
        <v>4409942623.86</v>
      </c>
      <c r="H496" s="4" t="n">
        <f aca="false">IFERROR(IF(AND(VLOOKUP($B496,Ref_Acuerdos!$A:$E,2,FALSE())="FTA",$A496&gt;=VLOOKUP($B496,Ref_Acuerdos!$A:$E,3,FALSE())),1,0),0)</f>
        <v>0</v>
      </c>
      <c r="I496" s="4" t="n">
        <f aca="false">IFERROR(IF(AND(VLOOKUP($B496,Ref_Acuerdos!$A:$E,2,FALSE())="PTA",$A496&gt;=VLOOKUP($B496,Ref_Acuerdos!$A:$E,3,FALSE())),1,0),0)</f>
        <v>0</v>
      </c>
      <c r="J496" s="7" t="str">
        <f aca="false">IFERROR(IF($A496&gt;=VLOOKUP($B496,Ref_Acuerdos!$A:$E,3,FALSE()),VLOOKUP($B496,Ref_Acuerdos!$A:$E,4,FALSE()),""),"")</f>
        <v/>
      </c>
      <c r="K496" s="4" t="str">
        <f aca="false">IFERROR(IF($A496&gt;=VLOOKUP($B496,Ref_Acuerdos!$A:$E,3,FALSE()),VLOOKUP($B496,Ref_Acuerdos!$A:$E,5,FALSE()),"Sin FTA/PTA vigente ese año - arancel NMF"),"Sin FTA/PTA identificado - arancel NMF")</f>
        <v>Sin FTA/PTA identificado - arancel NMF</v>
      </c>
    </row>
    <row r="497" customFormat="false" ht="15" hidden="false" customHeight="false" outlineLevel="0" collapsed="false">
      <c r="A497" s="2" t="n">
        <v>2016</v>
      </c>
      <c r="B497" s="2" t="s">
        <v>31</v>
      </c>
      <c r="C497" s="4" t="str">
        <f aca="false">IFERROR(VLOOKUP($B497,Ref_Continente!$A:$B,2,FALSE()),"Sin clasificar")</f>
        <v>Europe</v>
      </c>
      <c r="D497" s="5" t="n">
        <v>3689</v>
      </c>
      <c r="E497" s="6" t="n">
        <v>907</v>
      </c>
      <c r="F497" s="6" t="n">
        <v>10400</v>
      </c>
      <c r="G497" s="5" t="n">
        <v>52650714171.86</v>
      </c>
      <c r="H497" s="4" t="n">
        <f aca="false">IFERROR(IF(AND(VLOOKUP($B497,Ref_Acuerdos!$A:$E,2,FALSE())="FTA",$A497&gt;=VLOOKUP($B497,Ref_Acuerdos!$A:$E,3,FALSE())),1,0),0)</f>
        <v>0</v>
      </c>
      <c r="I497" s="4" t="n">
        <f aca="false">IFERROR(IF(AND(VLOOKUP($B497,Ref_Acuerdos!$A:$E,2,FALSE())="PTA",$A497&gt;=VLOOKUP($B497,Ref_Acuerdos!$A:$E,3,FALSE())),1,0),0)</f>
        <v>0</v>
      </c>
      <c r="J497" s="7" t="str">
        <f aca="false">IFERROR(IF($A497&gt;=VLOOKUP($B497,Ref_Acuerdos!$A:$E,3,FALSE()),VLOOKUP($B497,Ref_Acuerdos!$A:$E,4,FALSE()),""),"")</f>
        <v/>
      </c>
      <c r="K497" s="4" t="str">
        <f aca="false">IFERROR(IF($A497&gt;=VLOOKUP($B497,Ref_Acuerdos!$A:$E,3,FALSE()),VLOOKUP($B497,Ref_Acuerdos!$A:$E,5,FALSE()),"Sin FTA/PTA vigente ese año - arancel NMF"),"Sin FTA/PTA identificado - arancel NMF")</f>
        <v>Sin FTA/PTA vigente ese año - arancel NMF</v>
      </c>
    </row>
    <row r="498" customFormat="false" ht="15" hidden="false" customHeight="false" outlineLevel="0" collapsed="false">
      <c r="A498" s="2" t="n">
        <v>2016</v>
      </c>
      <c r="B498" s="2" t="s">
        <v>44</v>
      </c>
      <c r="C498" s="4" t="str">
        <f aca="false">IFERROR(VLOOKUP($B498,Ref_Continente!$A:$B,2,FALSE()),"Sin clasificar")</f>
        <v>Asia</v>
      </c>
      <c r="D498" s="5" t="n">
        <v>3565</v>
      </c>
      <c r="E498" s="6" t="n">
        <v>931</v>
      </c>
      <c r="F498" s="6" t="n">
        <v>11600</v>
      </c>
      <c r="G498" s="5" t="n">
        <v>15444548901.96</v>
      </c>
      <c r="H498" s="4" t="n">
        <f aca="false">IFERROR(IF(AND(VLOOKUP($B498,Ref_Acuerdos!$A:$E,2,FALSE())="FTA",$A498&gt;=VLOOKUP($B498,Ref_Acuerdos!$A:$E,3,FALSE())),1,0),0)</f>
        <v>0</v>
      </c>
      <c r="I498" s="4" t="n">
        <f aca="false">IFERROR(IF(AND(VLOOKUP($B498,Ref_Acuerdos!$A:$E,2,FALSE())="PTA",$A498&gt;=VLOOKUP($B498,Ref_Acuerdos!$A:$E,3,FALSE())),1,0),0)</f>
        <v>0</v>
      </c>
      <c r="J498" s="7" t="str">
        <f aca="false">IFERROR(IF($A498&gt;=VLOOKUP($B498,Ref_Acuerdos!$A:$E,3,FALSE()),VLOOKUP($B498,Ref_Acuerdos!$A:$E,4,FALSE()),""),"")</f>
        <v/>
      </c>
      <c r="K498" s="4" t="str">
        <f aca="false">IFERROR(IF($A498&gt;=VLOOKUP($B498,Ref_Acuerdos!$A:$E,3,FALSE()),VLOOKUP($B498,Ref_Acuerdos!$A:$E,5,FALSE()),"Sin FTA/PTA vigente ese año - arancel NMF"),"Sin FTA/PTA identificado - arancel NMF")</f>
        <v>Sin FTA/PTA identificado - arancel NMF</v>
      </c>
    </row>
    <row r="499" customFormat="false" ht="15" hidden="false" customHeight="false" outlineLevel="0" collapsed="false">
      <c r="A499" s="2" t="n">
        <v>2016</v>
      </c>
      <c r="B499" s="2" t="s">
        <v>28</v>
      </c>
      <c r="C499" s="4" t="str">
        <f aca="false">IFERROR(VLOOKUP($B499,Ref_Continente!$A:$B,2,FALSE()),"Sin clasificar")</f>
        <v>Asia</v>
      </c>
      <c r="D499" s="5" t="n">
        <v>3470</v>
      </c>
      <c r="E499" s="6" t="n">
        <v>578</v>
      </c>
      <c r="F499" s="6" t="n">
        <v>17700</v>
      </c>
      <c r="G499" s="5" t="n">
        <v>320860317562.56</v>
      </c>
      <c r="H499" s="4" t="n">
        <f aca="false">IFERROR(IF(AND(VLOOKUP($B499,Ref_Acuerdos!$A:$E,2,FALSE())="FTA",$A499&gt;=VLOOKUP($B499,Ref_Acuerdos!$A:$E,3,FALSE())),1,0),0)</f>
        <v>0</v>
      </c>
      <c r="I499" s="4" t="n">
        <f aca="false">IFERROR(IF(AND(VLOOKUP($B499,Ref_Acuerdos!$A:$E,2,FALSE())="PTA",$A499&gt;=VLOOKUP($B499,Ref_Acuerdos!$A:$E,3,FALSE())),1,0),0)</f>
        <v>0</v>
      </c>
      <c r="J499" s="7" t="str">
        <f aca="false">IFERROR(IF($A499&gt;=VLOOKUP($B499,Ref_Acuerdos!$A:$E,3,FALSE()),VLOOKUP($B499,Ref_Acuerdos!$A:$E,4,FALSE()),""),"")</f>
        <v/>
      </c>
      <c r="K499" s="4" t="str">
        <f aca="false">IFERROR(IF($A499&gt;=VLOOKUP($B499,Ref_Acuerdos!$A:$E,3,FALSE()),VLOOKUP($B499,Ref_Acuerdos!$A:$E,5,FALSE()),"Sin FTA/PTA vigente ese año - arancel NMF"),"Sin FTA/PTA identificado - arancel NMF")</f>
        <v>Sin FTA/PTA identificado - arancel NMF</v>
      </c>
    </row>
    <row r="500" customFormat="false" ht="15" hidden="false" customHeight="false" outlineLevel="0" collapsed="false">
      <c r="A500" s="2" t="n">
        <v>2016</v>
      </c>
      <c r="B500" s="2" t="s">
        <v>89</v>
      </c>
      <c r="C500" s="4" t="str">
        <f aca="false">IFERROR(VLOOKUP($B500,Ref_Continente!$A:$B,2,FALSE()),"Sin clasificar")</f>
        <v>Asia</v>
      </c>
      <c r="D500" s="5" t="n">
        <v>2891</v>
      </c>
      <c r="E500" s="6" t="n">
        <v>815</v>
      </c>
      <c r="F500" s="6" t="n">
        <v>17800</v>
      </c>
      <c r="G500" s="5" t="n">
        <v>318627003016.73</v>
      </c>
      <c r="H500" s="4" t="n">
        <f aca="false">IFERROR(IF(AND(VLOOKUP($B500,Ref_Acuerdos!$A:$E,2,FALSE())="FTA",$A500&gt;=VLOOKUP($B500,Ref_Acuerdos!$A:$E,3,FALSE())),1,0),0)</f>
        <v>0</v>
      </c>
      <c r="I500" s="4" t="n">
        <f aca="false">IFERROR(IF(AND(VLOOKUP($B500,Ref_Acuerdos!$A:$E,2,FALSE())="PTA",$A500&gt;=VLOOKUP($B500,Ref_Acuerdos!$A:$E,3,FALSE())),1,0),0)</f>
        <v>0</v>
      </c>
      <c r="J500" s="7" t="str">
        <f aca="false">IFERROR(IF($A500&gt;=VLOOKUP($B500,Ref_Acuerdos!$A:$E,3,FALSE()),VLOOKUP($B500,Ref_Acuerdos!$A:$E,4,FALSE()),""),"")</f>
        <v/>
      </c>
      <c r="K500" s="4" t="str">
        <f aca="false">IFERROR(IF($A500&gt;=VLOOKUP($B500,Ref_Acuerdos!$A:$E,3,FALSE()),VLOOKUP($B500,Ref_Acuerdos!$A:$E,5,FALSE()),"Sin FTA/PTA vigente ese año - arancel NMF"),"Sin FTA/PTA identificado - arancel NMF")</f>
        <v>Sin FTA/PTA identificado - arancel NMF</v>
      </c>
    </row>
    <row r="501" customFormat="false" ht="15" hidden="false" customHeight="false" outlineLevel="0" collapsed="false">
      <c r="A501" s="2" t="n">
        <v>2016</v>
      </c>
      <c r="B501" s="2" t="s">
        <v>52</v>
      </c>
      <c r="C501" s="4" t="str">
        <f aca="false">IFERROR(VLOOKUP($B501,Ref_Continente!$A:$B,2,FALSE()),"Sin clasificar")</f>
        <v>Europe</v>
      </c>
      <c r="D501" s="5" t="n">
        <v>2472</v>
      </c>
      <c r="E501" s="6" t="n">
        <v>535</v>
      </c>
      <c r="F501" s="6" t="n">
        <v>10350</v>
      </c>
      <c r="G501" s="5" t="n">
        <v>128983560865.29</v>
      </c>
      <c r="H501" s="4" t="n">
        <f aca="false">IFERROR(IF(AND(VLOOKUP($B501,Ref_Acuerdos!$A:$E,2,FALSE())="FTA",$A501&gt;=VLOOKUP($B501,Ref_Acuerdos!$A:$E,3,FALSE())),1,0),0)</f>
        <v>0</v>
      </c>
      <c r="I501" s="4" t="n">
        <f aca="false">IFERROR(IF(AND(VLOOKUP($B501,Ref_Acuerdos!$A:$E,2,FALSE())="PTA",$A501&gt;=VLOOKUP($B501,Ref_Acuerdos!$A:$E,3,FALSE())),1,0),0)</f>
        <v>0</v>
      </c>
      <c r="J501" s="7" t="str">
        <f aca="false">IFERROR(IF($A501&gt;=VLOOKUP($B501,Ref_Acuerdos!$A:$E,3,FALSE()),VLOOKUP($B501,Ref_Acuerdos!$A:$E,4,FALSE()),""),"")</f>
        <v/>
      </c>
      <c r="K501" s="4" t="str">
        <f aca="false">IFERROR(IF($A501&gt;=VLOOKUP($B501,Ref_Acuerdos!$A:$E,3,FALSE()),VLOOKUP($B501,Ref_Acuerdos!$A:$E,5,FALSE()),"Sin FTA/PTA vigente ese año - arancel NMF"),"Sin FTA/PTA identificado - arancel NMF")</f>
        <v>Sin FTA/PTA vigente ese año - arancel NMF</v>
      </c>
    </row>
    <row r="502" customFormat="false" ht="15" hidden="false" customHeight="false" outlineLevel="0" collapsed="false">
      <c r="A502" s="2" t="n">
        <v>2016</v>
      </c>
      <c r="B502" s="2" t="s">
        <v>18</v>
      </c>
      <c r="C502" s="4" t="str">
        <f aca="false">IFERROR(VLOOKUP($B502,Ref_Continente!$A:$B,2,FALSE()),"Sin clasificar")</f>
        <v>Asia</v>
      </c>
      <c r="D502" s="5" t="n">
        <v>2169</v>
      </c>
      <c r="E502" s="6" t="n">
        <v>717</v>
      </c>
      <c r="F502" s="6" t="n">
        <v>13800</v>
      </c>
      <c r="G502" s="5" t="n">
        <v>33884680851.06</v>
      </c>
      <c r="H502" s="4" t="n">
        <f aca="false">IFERROR(IF(AND(VLOOKUP($B502,Ref_Acuerdos!$A:$E,2,FALSE())="FTA",$A502&gt;=VLOOKUP($B502,Ref_Acuerdos!$A:$E,3,FALSE())),1,0),0)</f>
        <v>0</v>
      </c>
      <c r="I502" s="4" t="n">
        <f aca="false">IFERROR(IF(AND(VLOOKUP($B502,Ref_Acuerdos!$A:$E,2,FALSE())="PTA",$A502&gt;=VLOOKUP($B502,Ref_Acuerdos!$A:$E,3,FALSE())),1,0),0)</f>
        <v>0</v>
      </c>
      <c r="J502" s="7" t="str">
        <f aca="false">IFERROR(IF($A502&gt;=VLOOKUP($B502,Ref_Acuerdos!$A:$E,3,FALSE()),VLOOKUP($B502,Ref_Acuerdos!$A:$E,4,FALSE()),""),"")</f>
        <v/>
      </c>
      <c r="K502" s="4" t="str">
        <f aca="false">IFERROR(IF($A502&gt;=VLOOKUP($B502,Ref_Acuerdos!$A:$E,3,FALSE()),VLOOKUP($B502,Ref_Acuerdos!$A:$E,5,FALSE()),"Sin FTA/PTA vigente ese año - arancel NMF"),"Sin FTA/PTA identificado - arancel NMF")</f>
        <v>Sin FTA/PTA identificado - arancel NMF</v>
      </c>
    </row>
    <row r="503" customFormat="false" ht="15" hidden="false" customHeight="false" outlineLevel="0" collapsed="false">
      <c r="A503" s="2" t="n">
        <v>2016</v>
      </c>
      <c r="B503" s="2" t="s">
        <v>117</v>
      </c>
      <c r="C503" s="4" t="str">
        <f aca="false">IFERROR(VLOOKUP($B503,Ref_Continente!$A:$B,2,FALSE()),"Sin clasificar")</f>
        <v>Europe</v>
      </c>
      <c r="D503" s="5" t="n">
        <v>2122</v>
      </c>
      <c r="E503" s="6" t="n">
        <v>614</v>
      </c>
      <c r="F503" s="6" t="n">
        <v>9200</v>
      </c>
      <c r="G503" s="5" t="n">
        <v>2706807606538.73</v>
      </c>
      <c r="H503" s="4" t="n">
        <f aca="false">IFERROR(IF(AND(VLOOKUP($B503,Ref_Acuerdos!$A:$E,2,FALSE())="FTA",$A503&gt;=VLOOKUP($B503,Ref_Acuerdos!$A:$E,3,FALSE())),1,0),0)</f>
        <v>0</v>
      </c>
      <c r="I503" s="4" t="n">
        <f aca="false">IFERROR(IF(AND(VLOOKUP($B503,Ref_Acuerdos!$A:$E,2,FALSE())="PTA",$A503&gt;=VLOOKUP($B503,Ref_Acuerdos!$A:$E,3,FALSE())),1,0),0)</f>
        <v>0</v>
      </c>
      <c r="J503" s="7" t="str">
        <f aca="false">IFERROR(IF($A503&gt;=VLOOKUP($B503,Ref_Acuerdos!$A:$E,3,FALSE()),VLOOKUP($B503,Ref_Acuerdos!$A:$E,4,FALSE()),""),"")</f>
        <v/>
      </c>
      <c r="K503" s="4" t="str">
        <f aca="false">IFERROR(IF($A503&gt;=VLOOKUP($B503,Ref_Acuerdos!$A:$E,3,FALSE()),VLOOKUP($B503,Ref_Acuerdos!$A:$E,5,FALSE()),"Sin FTA/PTA vigente ese año - arancel NMF"),"Sin FTA/PTA identificado - arancel NMF")</f>
        <v>Sin FTA/PTA vigente ese año - arancel NMF</v>
      </c>
    </row>
    <row r="504" customFormat="false" ht="15" hidden="false" customHeight="false" outlineLevel="0" collapsed="false">
      <c r="A504" s="2" t="n">
        <v>2016</v>
      </c>
      <c r="B504" s="2" t="s">
        <v>101</v>
      </c>
      <c r="C504" s="4" t="str">
        <f aca="false">IFERROR(VLOOKUP($B504,Ref_Continente!$A:$B,2,FALSE()),"Sin clasificar")</f>
        <v>Europe</v>
      </c>
      <c r="D504" s="5" t="n">
        <v>1321</v>
      </c>
      <c r="E504" s="6" t="n">
        <v>287</v>
      </c>
      <c r="F504" s="6" t="n">
        <v>11000</v>
      </c>
      <c r="G504" s="5" t="n">
        <v>42225495909.56</v>
      </c>
      <c r="H504" s="4" t="n">
        <f aca="false">IFERROR(IF(AND(VLOOKUP($B504,Ref_Acuerdos!$A:$E,2,FALSE())="FTA",$A504&gt;=VLOOKUP($B504,Ref_Acuerdos!$A:$E,3,FALSE())),1,0),0)</f>
        <v>0</v>
      </c>
      <c r="I504" s="4" t="n">
        <f aca="false">IFERROR(IF(AND(VLOOKUP($B504,Ref_Acuerdos!$A:$E,2,FALSE())="PTA",$A504&gt;=VLOOKUP($B504,Ref_Acuerdos!$A:$E,3,FALSE())),1,0),0)</f>
        <v>0</v>
      </c>
      <c r="J504" s="7" t="str">
        <f aca="false">IFERROR(IF($A504&gt;=VLOOKUP($B504,Ref_Acuerdos!$A:$E,3,FALSE()),VLOOKUP($B504,Ref_Acuerdos!$A:$E,4,FALSE()),""),"")</f>
        <v/>
      </c>
      <c r="K504" s="4" t="str">
        <f aca="false">IFERROR(IF($A504&gt;=VLOOKUP($B504,Ref_Acuerdos!$A:$E,3,FALSE()),VLOOKUP($B504,Ref_Acuerdos!$A:$E,5,FALSE()),"Sin FTA/PTA vigente ese año - arancel NMF"),"Sin FTA/PTA identificado - arancel NMF")</f>
        <v>Sin FTA/PTA identificado - arancel NMF</v>
      </c>
    </row>
    <row r="505" customFormat="false" ht="15" hidden="false" customHeight="false" outlineLevel="0" collapsed="false">
      <c r="A505" s="2" t="n">
        <v>2016</v>
      </c>
      <c r="B505" s="2" t="s">
        <v>47</v>
      </c>
      <c r="C505" s="4" t="str">
        <f aca="false">IFERROR(VLOOKUP($B505,Ref_Continente!$A:$B,2,FALSE()),"Sin clasificar")</f>
        <v>Oceania</v>
      </c>
      <c r="D505" s="5" t="n">
        <v>1289</v>
      </c>
      <c r="E505" s="6" t="n">
        <v>375</v>
      </c>
      <c r="F505" s="6" t="n">
        <v>14200</v>
      </c>
      <c r="G505" s="5" t="n">
        <v>5901000000</v>
      </c>
      <c r="H505" s="4" t="n">
        <f aca="false">IFERROR(IF(AND(VLOOKUP($B505,Ref_Acuerdos!$A:$E,2,FALSE())="FTA",$A505&gt;=VLOOKUP($B505,Ref_Acuerdos!$A:$E,3,FALSE())),1,0),0)</f>
        <v>0</v>
      </c>
      <c r="I505" s="4" t="n">
        <f aca="false">IFERROR(IF(AND(VLOOKUP($B505,Ref_Acuerdos!$A:$E,2,FALSE())="PTA",$A505&gt;=VLOOKUP($B505,Ref_Acuerdos!$A:$E,3,FALSE())),1,0),0)</f>
        <v>0</v>
      </c>
      <c r="J505" s="7" t="str">
        <f aca="false">IFERROR(IF($A505&gt;=VLOOKUP($B505,Ref_Acuerdos!$A:$E,3,FALSE()),VLOOKUP($B505,Ref_Acuerdos!$A:$E,4,FALSE()),""),"")</f>
        <v/>
      </c>
      <c r="K505" s="4" t="str">
        <f aca="false">IFERROR(IF($A505&gt;=VLOOKUP($B505,Ref_Acuerdos!$A:$E,3,FALSE()),VLOOKUP($B505,Ref_Acuerdos!$A:$E,5,FALSE()),"Sin FTA/PTA vigente ese año - arancel NMF"),"Sin FTA/PTA identificado - arancel NMF")</f>
        <v>Sin FTA/PTA identificado - arancel NMF</v>
      </c>
    </row>
    <row r="506" customFormat="false" ht="15" hidden="false" customHeight="false" outlineLevel="0" collapsed="false">
      <c r="A506" s="2" t="n">
        <v>2016</v>
      </c>
      <c r="B506" s="2" t="s">
        <v>60</v>
      </c>
      <c r="C506" s="4" t="str">
        <f aca="false">IFERROR(VLOOKUP($B506,Ref_Continente!$A:$B,2,FALSE()),"Sin clasificar")</f>
        <v>North America</v>
      </c>
      <c r="D506" s="5" t="n">
        <v>1198</v>
      </c>
      <c r="E506" s="6" t="n">
        <v>380</v>
      </c>
      <c r="F506" s="6" t="n">
        <v>1900</v>
      </c>
      <c r="G506" s="5" t="n">
        <v>14898999754.12</v>
      </c>
      <c r="H506" s="4" t="n">
        <f aca="false">IFERROR(IF(AND(VLOOKUP($B506,Ref_Acuerdos!$A:$E,2,FALSE())="FTA",$A506&gt;=VLOOKUP($B506,Ref_Acuerdos!$A:$E,3,FALSE())),1,0),0)</f>
        <v>0</v>
      </c>
      <c r="I506" s="4" t="n">
        <f aca="false">IFERROR(IF(AND(VLOOKUP($B506,Ref_Acuerdos!$A:$E,2,FALSE())="PTA",$A506&gt;=VLOOKUP($B506,Ref_Acuerdos!$A:$E,3,FALSE())),1,0),0)</f>
        <v>0</v>
      </c>
      <c r="J506" s="7" t="str">
        <f aca="false">IFERROR(IF($A506&gt;=VLOOKUP($B506,Ref_Acuerdos!$A:$E,3,FALSE()),VLOOKUP($B506,Ref_Acuerdos!$A:$E,4,FALSE()),""),"")</f>
        <v/>
      </c>
      <c r="K506" s="4" t="str">
        <f aca="false">IFERROR(IF($A506&gt;=VLOOKUP($B506,Ref_Acuerdos!$A:$E,3,FALSE()),VLOOKUP($B506,Ref_Acuerdos!$A:$E,5,FALSE()),"Sin FTA/PTA vigente ese año - arancel NMF"),"Sin FTA/PTA identificado - arancel NMF")</f>
        <v>Sin FTA/PTA identificado - arancel NMF</v>
      </c>
    </row>
    <row r="507" customFormat="false" ht="15" hidden="false" customHeight="false" outlineLevel="0" collapsed="false">
      <c r="A507" s="2" t="n">
        <v>2016</v>
      </c>
      <c r="B507" s="2" t="s">
        <v>112</v>
      </c>
      <c r="C507" s="4" t="str">
        <f aca="false">IFERROR(VLOOKUP($B507,Ref_Continente!$A:$B,2,FALSE()),"Sin clasificar")</f>
        <v>Asia</v>
      </c>
      <c r="D507" s="5" t="n">
        <v>1187</v>
      </c>
      <c r="E507" s="6" t="n">
        <v>476</v>
      </c>
      <c r="F507" s="6" t="n">
        <v>13800</v>
      </c>
      <c r="G507" s="5" t="n">
        <v>36169428571.43</v>
      </c>
      <c r="H507" s="4" t="n">
        <f aca="false">IFERROR(IF(AND(VLOOKUP($B507,Ref_Acuerdos!$A:$E,2,FALSE())="FTA",$A507&gt;=VLOOKUP($B507,Ref_Acuerdos!$A:$E,3,FALSE())),1,0),0)</f>
        <v>0</v>
      </c>
      <c r="I507" s="4" t="n">
        <f aca="false">IFERROR(IF(AND(VLOOKUP($B507,Ref_Acuerdos!$A:$E,2,FALSE())="PTA",$A507&gt;=VLOOKUP($B507,Ref_Acuerdos!$A:$E,3,FALSE())),1,0),0)</f>
        <v>0</v>
      </c>
      <c r="J507" s="7" t="str">
        <f aca="false">IFERROR(IF($A507&gt;=VLOOKUP($B507,Ref_Acuerdos!$A:$E,3,FALSE()),VLOOKUP($B507,Ref_Acuerdos!$A:$E,4,FALSE()),""),"")</f>
        <v/>
      </c>
      <c r="K507" s="4" t="str">
        <f aca="false">IFERROR(IF($A507&gt;=VLOOKUP($B507,Ref_Acuerdos!$A:$E,3,FALSE()),VLOOKUP($B507,Ref_Acuerdos!$A:$E,5,FALSE()),"Sin FTA/PTA vigente ese año - arancel NMF"),"Sin FTA/PTA identificado - arancel NMF")</f>
        <v>Sin FTA/PTA identificado - arancel NMF</v>
      </c>
    </row>
    <row r="508" customFormat="false" ht="15" hidden="false" customHeight="false" outlineLevel="0" collapsed="false">
      <c r="A508" s="2" t="n">
        <v>2016</v>
      </c>
      <c r="B508" s="2" t="s">
        <v>27</v>
      </c>
      <c r="C508" s="4" t="str">
        <f aca="false">IFERROR(VLOOKUP($B508,Ref_Continente!$A:$B,2,FALSE()),"Sin clasificar")</f>
        <v>Asia</v>
      </c>
      <c r="D508" s="5" t="n">
        <v>773</v>
      </c>
      <c r="E508" s="6" t="n">
        <v>194</v>
      </c>
      <c r="F508" s="6" t="n">
        <v>17000</v>
      </c>
      <c r="G508" s="5" t="n">
        <v>11456024084962</v>
      </c>
      <c r="H508" s="4" t="n">
        <f aca="false">IFERROR(IF(AND(VLOOKUP($B508,Ref_Acuerdos!$A:$E,2,FALSE())="FTA",$A508&gt;=VLOOKUP($B508,Ref_Acuerdos!$A:$E,3,FALSE())),1,0),0)</f>
        <v>0</v>
      </c>
      <c r="I508" s="4" t="n">
        <f aca="false">IFERROR(IF(AND(VLOOKUP($B508,Ref_Acuerdos!$A:$E,2,FALSE())="PTA",$A508&gt;=VLOOKUP($B508,Ref_Acuerdos!$A:$E,3,FALSE())),1,0),0)</f>
        <v>0</v>
      </c>
      <c r="J508" s="7" t="str">
        <f aca="false">IFERROR(IF($A508&gt;=VLOOKUP($B508,Ref_Acuerdos!$A:$E,3,FALSE()),VLOOKUP($B508,Ref_Acuerdos!$A:$E,4,FALSE()),""),"")</f>
        <v/>
      </c>
      <c r="K508" s="4" t="str">
        <f aca="false">IFERROR(IF($A508&gt;=VLOOKUP($B508,Ref_Acuerdos!$A:$E,3,FALSE()),VLOOKUP($B508,Ref_Acuerdos!$A:$E,5,FALSE()),"Sin FTA/PTA vigente ese año - arancel NMF"),"Sin FTA/PTA identificado - arancel NMF")</f>
        <v>Sin FTA/PTA vigente ese año - arancel NMF</v>
      </c>
    </row>
    <row r="509" customFormat="false" ht="15" hidden="false" customHeight="false" outlineLevel="0" collapsed="false">
      <c r="A509" s="2" t="n">
        <v>2016</v>
      </c>
      <c r="B509" s="2" t="s">
        <v>76</v>
      </c>
      <c r="C509" s="4" t="str">
        <f aca="false">IFERROR(VLOOKUP($B509,Ref_Continente!$A:$B,2,FALSE()),"Sin clasificar")</f>
        <v>Oceania</v>
      </c>
      <c r="D509" s="5" t="n">
        <v>663</v>
      </c>
      <c r="E509" s="6" t="n">
        <v>291</v>
      </c>
      <c r="F509" s="6" t="n">
        <v>14000</v>
      </c>
      <c r="G509" s="5"/>
      <c r="H509" s="4" t="n">
        <f aca="false">IFERROR(IF(AND(VLOOKUP($B509,Ref_Acuerdos!$A:$E,2,FALSE())="FTA",$A509&gt;=VLOOKUP($B509,Ref_Acuerdos!$A:$E,3,FALSE())),1,0),0)</f>
        <v>0</v>
      </c>
      <c r="I509" s="4" t="n">
        <f aca="false">IFERROR(IF(AND(VLOOKUP($B509,Ref_Acuerdos!$A:$E,2,FALSE())="PTA",$A509&gt;=VLOOKUP($B509,Ref_Acuerdos!$A:$E,3,FALSE())),1,0),0)</f>
        <v>0</v>
      </c>
      <c r="J509" s="7" t="str">
        <f aca="false">IFERROR(IF($A509&gt;=VLOOKUP($B509,Ref_Acuerdos!$A:$E,3,FALSE()),VLOOKUP($B509,Ref_Acuerdos!$A:$E,4,FALSE()),""),"")</f>
        <v/>
      </c>
      <c r="K509" s="4" t="str">
        <f aca="false">IFERROR(IF($A509&gt;=VLOOKUP($B509,Ref_Acuerdos!$A:$E,3,FALSE()),VLOOKUP($B509,Ref_Acuerdos!$A:$E,5,FALSE()),"Sin FTA/PTA vigente ese año - arancel NMF"),"Sin FTA/PTA identificado - arancel NMF")</f>
        <v>Sin FTA/PTA identificado - arancel NMF</v>
      </c>
    </row>
    <row r="510" customFormat="false" ht="15" hidden="false" customHeight="false" outlineLevel="0" collapsed="false">
      <c r="A510" s="2" t="n">
        <v>2016</v>
      </c>
      <c r="B510" s="2" t="s">
        <v>93</v>
      </c>
      <c r="C510" s="4" t="str">
        <f aca="false">IFERROR(VLOOKUP($B510,Ref_Continente!$A:$B,2,FALSE()),"Sin clasificar")</f>
        <v>Asia</v>
      </c>
      <c r="D510" s="5" t="n">
        <v>423</v>
      </c>
      <c r="E510" s="6" t="n">
        <v>120</v>
      </c>
      <c r="F510" s="6" t="n">
        <v>15250</v>
      </c>
      <c r="G510" s="5" t="n">
        <v>1579150518945.44</v>
      </c>
      <c r="H510" s="4" t="n">
        <f aca="false">IFERROR(IF(AND(VLOOKUP($B510,Ref_Acuerdos!$A:$E,2,FALSE())="FTA",$A510&gt;=VLOOKUP($B510,Ref_Acuerdos!$A:$E,3,FALSE())),1,0),0)</f>
        <v>0</v>
      </c>
      <c r="I510" s="4" t="n">
        <f aca="false">IFERROR(IF(AND(VLOOKUP($B510,Ref_Acuerdos!$A:$E,2,FALSE())="PTA",$A510&gt;=VLOOKUP($B510,Ref_Acuerdos!$A:$E,3,FALSE())),1,0),0)</f>
        <v>0</v>
      </c>
      <c r="J510" s="7" t="str">
        <f aca="false">IFERROR(IF($A510&gt;=VLOOKUP($B510,Ref_Acuerdos!$A:$E,3,FALSE()),VLOOKUP($B510,Ref_Acuerdos!$A:$E,4,FALSE()),""),"")</f>
        <v/>
      </c>
      <c r="K510" s="4" t="str">
        <f aca="false">IFERROR(IF($A510&gt;=VLOOKUP($B510,Ref_Acuerdos!$A:$E,3,FALSE()),VLOOKUP($B510,Ref_Acuerdos!$A:$E,5,FALSE()),"Sin FTA/PTA vigente ese año - arancel NMF"),"Sin FTA/PTA identificado - arancel NMF")</f>
        <v>Sin FTA/PTA identificado - arancel NMF</v>
      </c>
    </row>
    <row r="511" customFormat="false" ht="15" hidden="false" customHeight="false" outlineLevel="0" collapsed="false">
      <c r="A511" s="2" t="n">
        <v>2016</v>
      </c>
      <c r="B511" s="2" t="s">
        <v>34</v>
      </c>
      <c r="C511" s="4" t="str">
        <f aca="false">IFERROR(VLOOKUP($B511,Ref_Continente!$A:$B,2,FALSE()),"Sin clasificar")</f>
        <v>Europe</v>
      </c>
      <c r="D511" s="5" t="n">
        <v>224</v>
      </c>
      <c r="E511" s="6" t="n">
        <v>57</v>
      </c>
      <c r="F511" s="6" t="n">
        <v>11900</v>
      </c>
      <c r="G511" s="5" t="n">
        <v>21046462280.6</v>
      </c>
      <c r="H511" s="4" t="n">
        <f aca="false">IFERROR(IF(AND(VLOOKUP($B511,Ref_Acuerdos!$A:$E,2,FALSE())="FTA",$A511&gt;=VLOOKUP($B511,Ref_Acuerdos!$A:$E,3,FALSE())),1,0),0)</f>
        <v>0</v>
      </c>
      <c r="I511" s="4" t="n">
        <f aca="false">IFERROR(IF(AND(VLOOKUP($B511,Ref_Acuerdos!$A:$E,2,FALSE())="PTA",$A511&gt;=VLOOKUP($B511,Ref_Acuerdos!$A:$E,3,FALSE())),1,0),0)</f>
        <v>0</v>
      </c>
      <c r="J511" s="7" t="str">
        <f aca="false">IFERROR(IF($A511&gt;=VLOOKUP($B511,Ref_Acuerdos!$A:$E,3,FALSE()),VLOOKUP($B511,Ref_Acuerdos!$A:$E,4,FALSE()),""),"")</f>
        <v/>
      </c>
      <c r="K511" s="4" t="str">
        <f aca="false">IFERROR(IF($A511&gt;=VLOOKUP($B511,Ref_Acuerdos!$A:$E,3,FALSE()),VLOOKUP($B511,Ref_Acuerdos!$A:$E,5,FALSE()),"Sin FTA/PTA vigente ese año - arancel NMF"),"Sin FTA/PTA identificado - arancel NMF")</f>
        <v>Sin FTA/PTA vigente ese año - arancel NMF</v>
      </c>
    </row>
    <row r="512" customFormat="false" ht="15" hidden="false" customHeight="false" outlineLevel="0" collapsed="false">
      <c r="A512" s="2" t="n">
        <v>2016</v>
      </c>
      <c r="B512" s="2" t="s">
        <v>23</v>
      </c>
      <c r="C512" s="4" t="str">
        <f aca="false">IFERROR(VLOOKUP($B512,Ref_Continente!$A:$B,2,FALSE()),"Sin clasificar")</f>
        <v>South America</v>
      </c>
      <c r="D512" s="5" t="n">
        <v>200</v>
      </c>
      <c r="E512" s="6" t="n">
        <v>200</v>
      </c>
      <c r="F512" s="6" t="n">
        <v>4330</v>
      </c>
      <c r="G512" s="5" t="n">
        <v>1795693265999.04</v>
      </c>
      <c r="H512" s="4" t="n">
        <f aca="false">IFERROR(IF(AND(VLOOKUP($B512,Ref_Acuerdos!$A:$E,2,FALSE())="FTA",$A512&gt;=VLOOKUP($B512,Ref_Acuerdos!$A:$E,3,FALSE())),1,0),0)</f>
        <v>0</v>
      </c>
      <c r="I512" s="4" t="n">
        <f aca="false">IFERROR(IF(AND(VLOOKUP($B512,Ref_Acuerdos!$A:$E,2,FALSE())="PTA",$A512&gt;=VLOOKUP($B512,Ref_Acuerdos!$A:$E,3,FALSE())),1,0),0)</f>
        <v>1</v>
      </c>
      <c r="J512" s="7" t="n">
        <f aca="false">IFERROR(IF($A512&gt;=VLOOKUP($B512,Ref_Acuerdos!$A:$E,3,FALSE()),VLOOKUP($B512,Ref_Acuerdos!$A:$E,4,FALSE()),""),"")</f>
        <v>5</v>
      </c>
      <c r="K512" s="4" t="str">
        <f aca="false">IFERROR(IF($A512&gt;=VLOOKUP($B512,Ref_Acuerdos!$A:$E,3,FALSE()),VLOOKUP($B512,Ref_Acuerdos!$A:$E,5,FALSE()),"Sin FTA/PTA vigente ese año - arancel NMF"),"Sin FTA/PTA identificado - arancel NMF")</f>
        <v>Ecuador-Mercosur ACE 59 - preferencias parciales (tarifa referencial)</v>
      </c>
    </row>
    <row r="513" customFormat="false" ht="15" hidden="false" customHeight="false" outlineLevel="0" collapsed="false">
      <c r="A513" s="2" t="n">
        <v>2016</v>
      </c>
      <c r="B513" s="2" t="s">
        <v>107</v>
      </c>
      <c r="C513" s="4" t="str">
        <f aca="false">IFERROR(VLOOKUP($B513,Ref_Continente!$A:$B,2,FALSE()),"Sin clasificar")</f>
        <v>Europe</v>
      </c>
      <c r="D513" s="5" t="n">
        <v>200</v>
      </c>
      <c r="E513" s="6" t="n">
        <v>200</v>
      </c>
      <c r="F513" s="6" t="n">
        <v>10000</v>
      </c>
      <c r="G513" s="5" t="n">
        <v>513058312950.94</v>
      </c>
      <c r="H513" s="4" t="n">
        <f aca="false">IFERROR(IF(AND(VLOOKUP($B513,Ref_Acuerdos!$A:$E,2,FALSE())="FTA",$A513&gt;=VLOOKUP($B513,Ref_Acuerdos!$A:$E,3,FALSE())),1,0),0)</f>
        <v>0</v>
      </c>
      <c r="I513" s="4" t="n">
        <f aca="false">IFERROR(IF(AND(VLOOKUP($B513,Ref_Acuerdos!$A:$E,2,FALSE())="PTA",$A513&gt;=VLOOKUP($B513,Ref_Acuerdos!$A:$E,3,FALSE())),1,0),0)</f>
        <v>0</v>
      </c>
      <c r="J513" s="7" t="str">
        <f aca="false">IFERROR(IF($A513&gt;=VLOOKUP($B513,Ref_Acuerdos!$A:$E,3,FALSE()),VLOOKUP($B513,Ref_Acuerdos!$A:$E,4,FALSE()),""),"")</f>
        <v/>
      </c>
      <c r="K513" s="4" t="str">
        <f aca="false">IFERROR(IF($A513&gt;=VLOOKUP($B513,Ref_Acuerdos!$A:$E,3,FALSE()),VLOOKUP($B513,Ref_Acuerdos!$A:$E,5,FALSE()),"Sin FTA/PTA vigente ese año - arancel NMF"),"Sin FTA/PTA identificado - arancel NMF")</f>
        <v>Sin FTA/PTA vigente ese año - arancel NMF</v>
      </c>
    </row>
    <row r="514" customFormat="false" ht="15" hidden="false" customHeight="false" outlineLevel="0" collapsed="false">
      <c r="A514" s="2" t="n">
        <v>2016</v>
      </c>
      <c r="B514" s="2" t="s">
        <v>120</v>
      </c>
      <c r="C514" s="4" t="str">
        <f aca="false">IFERROR(VLOOKUP($B514,Ref_Continente!$A:$B,2,FALSE()),"Sin clasificar")</f>
        <v>Asia</v>
      </c>
      <c r="D514" s="5" t="n">
        <v>200</v>
      </c>
      <c r="E514" s="6" t="n">
        <v>200</v>
      </c>
      <c r="F514" s="6" t="n">
        <v>17600</v>
      </c>
      <c r="G514" s="5" t="n">
        <v>257096001177.98</v>
      </c>
      <c r="H514" s="4" t="n">
        <f aca="false">IFERROR(IF(AND(VLOOKUP($B514,Ref_Acuerdos!$A:$E,2,FALSE())="FTA",$A514&gt;=VLOOKUP($B514,Ref_Acuerdos!$A:$E,3,FALSE())),1,0),0)</f>
        <v>0</v>
      </c>
      <c r="I514" s="4" t="n">
        <f aca="false">IFERROR(IF(AND(VLOOKUP($B514,Ref_Acuerdos!$A:$E,2,FALSE())="PTA",$A514&gt;=VLOOKUP($B514,Ref_Acuerdos!$A:$E,3,FALSE())),1,0),0)</f>
        <v>0</v>
      </c>
      <c r="J514" s="7" t="str">
        <f aca="false">IFERROR(IF($A514&gt;=VLOOKUP($B514,Ref_Acuerdos!$A:$E,3,FALSE()),VLOOKUP($B514,Ref_Acuerdos!$A:$E,4,FALSE()),""),"")</f>
        <v/>
      </c>
      <c r="K514" s="4" t="str">
        <f aca="false">IFERROR(IF($A514&gt;=VLOOKUP($B514,Ref_Acuerdos!$A:$E,3,FALSE()),VLOOKUP($B514,Ref_Acuerdos!$A:$E,5,FALSE()),"Sin FTA/PTA vigente ese año - arancel NMF"),"Sin FTA/PTA identificado - arancel NMF")</f>
        <v>Sin FTA/PTA identificado - arancel NMF</v>
      </c>
    </row>
    <row r="515" customFormat="false" ht="15" hidden="false" customHeight="false" outlineLevel="0" collapsed="false">
      <c r="A515" s="2" t="n">
        <v>2016</v>
      </c>
      <c r="B515" s="2" t="s">
        <v>29</v>
      </c>
      <c r="C515" s="4" t="str">
        <f aca="false">IFERROR(VLOOKUP($B515,Ref_Continente!$A:$B,2,FALSE()),"Sin clasificar")</f>
        <v>South America</v>
      </c>
      <c r="D515" s="5" t="n">
        <v>200</v>
      </c>
      <c r="E515" s="6" t="n">
        <v>200</v>
      </c>
      <c r="F515" s="6" t="n">
        <v>720</v>
      </c>
      <c r="G515" s="5" t="n">
        <v>282720100286.23</v>
      </c>
      <c r="H515" s="4" t="n">
        <f aca="false">IFERROR(IF(AND(VLOOKUP($B515,Ref_Acuerdos!$A:$E,2,FALSE())="FTA",$A515&gt;=VLOOKUP($B515,Ref_Acuerdos!$A:$E,3,FALSE())),1,0),0)</f>
        <v>0</v>
      </c>
      <c r="I515" s="4" t="n">
        <f aca="false">IFERROR(IF(AND(VLOOKUP($B515,Ref_Acuerdos!$A:$E,2,FALSE())="PTA",$A515&gt;=VLOOKUP($B515,Ref_Acuerdos!$A:$E,3,FALSE())),1,0),0)</f>
        <v>1</v>
      </c>
      <c r="J515" s="7" t="n">
        <f aca="false">IFERROR(IF($A515&gt;=VLOOKUP($B515,Ref_Acuerdos!$A:$E,3,FALSE()),VLOOKUP($B515,Ref_Acuerdos!$A:$E,4,FALSE()),""),"")</f>
        <v>0</v>
      </c>
      <c r="K515" s="4" t="str">
        <f aca="false">IFERROR(IF($A515&gt;=VLOOKUP($B515,Ref_Acuerdos!$A:$E,3,FALSE()),VLOOKUP($B515,Ref_Acuerdos!$A:$E,5,FALSE()),"Sin FTA/PTA vigente ese año - arancel NMF"),"Sin FTA/PTA identificado - arancel NMF")</f>
        <v>Comunidad Andina (CAN) - libre comercio intracomunitario</v>
      </c>
    </row>
    <row r="516" customFormat="false" ht="15" hidden="false" customHeight="false" outlineLevel="0" collapsed="false">
      <c r="A516" s="2" t="n">
        <v>2016</v>
      </c>
      <c r="B516" s="2" t="s">
        <v>14</v>
      </c>
      <c r="C516" s="4" t="str">
        <f aca="false">IFERROR(VLOOKUP($B516,Ref_Continente!$A:$B,2,FALSE()),"Sin clasificar")</f>
        <v>Europe</v>
      </c>
      <c r="D516" s="5" t="n">
        <v>200</v>
      </c>
      <c r="E516" s="6" t="n">
        <v>200</v>
      </c>
      <c r="F516" s="6" t="n">
        <v>10050</v>
      </c>
      <c r="G516" s="5" t="n">
        <v>393687359770.27</v>
      </c>
      <c r="H516" s="4" t="n">
        <f aca="false">IFERROR(IF(AND(VLOOKUP($B516,Ref_Acuerdos!$A:$E,2,FALSE())="FTA",$A516&gt;=VLOOKUP($B516,Ref_Acuerdos!$A:$E,3,FALSE())),1,0),0)</f>
        <v>0</v>
      </c>
      <c r="I516" s="4" t="n">
        <f aca="false">IFERROR(IF(AND(VLOOKUP($B516,Ref_Acuerdos!$A:$E,2,FALSE())="PTA",$A516&gt;=VLOOKUP($B516,Ref_Acuerdos!$A:$E,3,FALSE())),1,0),0)</f>
        <v>0</v>
      </c>
      <c r="J516" s="7" t="str">
        <f aca="false">IFERROR(IF($A516&gt;=VLOOKUP($B516,Ref_Acuerdos!$A:$E,3,FALSE()),VLOOKUP($B516,Ref_Acuerdos!$A:$E,4,FALSE()),""),"")</f>
        <v/>
      </c>
      <c r="K516" s="4" t="str">
        <f aca="false">IFERROR(IF($A516&gt;=VLOOKUP($B516,Ref_Acuerdos!$A:$E,3,FALSE()),VLOOKUP($B516,Ref_Acuerdos!$A:$E,5,FALSE()),"Sin FTA/PTA vigente ese año - arancel NMF"),"Sin FTA/PTA identificado - arancel NMF")</f>
        <v>Sin FTA/PTA vigente ese año - arancel NMF</v>
      </c>
    </row>
    <row r="517" customFormat="false" ht="15" hidden="false" customHeight="false" outlineLevel="0" collapsed="false">
      <c r="A517" s="2" t="n">
        <v>2016</v>
      </c>
      <c r="B517" s="2" t="s">
        <v>113</v>
      </c>
      <c r="C517" s="4" t="str">
        <f aca="false">IFERROR(VLOOKUP($B517,Ref_Continente!$A:$B,2,FALSE()),"Sin clasificar")</f>
        <v>Europe</v>
      </c>
      <c r="D517" s="5" t="n">
        <v>180</v>
      </c>
      <c r="E517" s="6" t="n">
        <v>103</v>
      </c>
      <c r="F517" s="6" t="n">
        <v>11600</v>
      </c>
      <c r="G517" s="5" t="n">
        <v>870818016909.84</v>
      </c>
      <c r="H517" s="4" t="n">
        <f aca="false">IFERROR(IF(AND(VLOOKUP($B517,Ref_Acuerdos!$A:$E,2,FALSE())="FTA",$A517&gt;=VLOOKUP($B517,Ref_Acuerdos!$A:$E,3,FALSE())),1,0),0)</f>
        <v>0</v>
      </c>
      <c r="I517" s="4" t="n">
        <f aca="false">IFERROR(IF(AND(VLOOKUP($B517,Ref_Acuerdos!$A:$E,2,FALSE())="PTA",$A517&gt;=VLOOKUP($B517,Ref_Acuerdos!$A:$E,3,FALSE())),1,0),0)</f>
        <v>0</v>
      </c>
      <c r="J517" s="7" t="str">
        <f aca="false">IFERROR(IF($A517&gt;=VLOOKUP($B517,Ref_Acuerdos!$A:$E,3,FALSE()),VLOOKUP($B517,Ref_Acuerdos!$A:$E,4,FALSE()),""),"")</f>
        <v/>
      </c>
      <c r="K517" s="4" t="str">
        <f aca="false">IFERROR(IF($A517&gt;=VLOOKUP($B517,Ref_Acuerdos!$A:$E,3,FALSE()),VLOOKUP($B517,Ref_Acuerdos!$A:$E,5,FALSE()),"Sin FTA/PTA vigente ese año - arancel NMF"),"Sin FTA/PTA identificado - arancel NMF")</f>
        <v>Sin FTA/PTA identificado - arancel NMF</v>
      </c>
    </row>
    <row r="518" customFormat="false" ht="15" hidden="false" customHeight="false" outlineLevel="0" collapsed="false">
      <c r="A518" s="2" t="n">
        <v>2016</v>
      </c>
      <c r="B518" s="2" t="s">
        <v>83</v>
      </c>
      <c r="C518" s="4" t="str">
        <f aca="false">IFERROR(VLOOKUP($B518,Ref_Continente!$A:$B,2,FALSE()),"Sin clasificar")</f>
        <v>Europe</v>
      </c>
      <c r="D518" s="5" t="n">
        <v>144</v>
      </c>
      <c r="E518" s="6" t="n">
        <v>37</v>
      </c>
      <c r="F518" s="6" t="n">
        <v>9980</v>
      </c>
      <c r="G518" s="5" t="n">
        <v>370956547619.05</v>
      </c>
      <c r="H518" s="4" t="n">
        <f aca="false">IFERROR(IF(AND(VLOOKUP($B518,Ref_Acuerdos!$A:$E,2,FALSE())="FTA",$A518&gt;=VLOOKUP($B518,Ref_Acuerdos!$A:$E,3,FALSE())),1,0),0)</f>
        <v>0</v>
      </c>
      <c r="I518" s="4" t="n">
        <f aca="false">IFERROR(IF(AND(VLOOKUP($B518,Ref_Acuerdos!$A:$E,2,FALSE())="PTA",$A518&gt;=VLOOKUP($B518,Ref_Acuerdos!$A:$E,3,FALSE())),1,0),0)</f>
        <v>0</v>
      </c>
      <c r="J518" s="7" t="str">
        <f aca="false">IFERROR(IF($A518&gt;=VLOOKUP($B518,Ref_Acuerdos!$A:$E,3,FALSE()),VLOOKUP($B518,Ref_Acuerdos!$A:$E,4,FALSE()),""),"")</f>
        <v/>
      </c>
      <c r="K518" s="4" t="str">
        <f aca="false">IFERROR(IF($A518&gt;=VLOOKUP($B518,Ref_Acuerdos!$A:$E,3,FALSE()),VLOOKUP($B518,Ref_Acuerdos!$A:$E,5,FALSE()),"Sin FTA/PTA vigente ese año - arancel NMF"),"Sin FTA/PTA identificado - arancel NMF")</f>
        <v>Sin FTA/PTA vigente ese año - arancel NMF</v>
      </c>
    </row>
    <row r="519" customFormat="false" ht="15" hidden="false" customHeight="false" outlineLevel="0" collapsed="false">
      <c r="A519" s="2" t="n">
        <v>2016</v>
      </c>
      <c r="B519" s="2" t="s">
        <v>108</v>
      </c>
      <c r="C519" s="4" t="str">
        <f aca="false">IFERROR(VLOOKUP($B519,Ref_Continente!$A:$B,2,FALSE()),"Sin clasificar")</f>
        <v>Europe</v>
      </c>
      <c r="D519" s="5" t="n">
        <v>89</v>
      </c>
      <c r="E519" s="6" t="n">
        <v>42</v>
      </c>
      <c r="F519" s="6" t="n">
        <v>9800</v>
      </c>
      <c r="G519" s="5" t="n">
        <v>687895460902.71</v>
      </c>
      <c r="H519" s="4" t="n">
        <f aca="false">IFERROR(IF(AND(VLOOKUP($B519,Ref_Acuerdos!$A:$E,2,FALSE())="FTA",$A519&gt;=VLOOKUP($B519,Ref_Acuerdos!$A:$E,3,FALSE())),1,0),0)</f>
        <v>0</v>
      </c>
      <c r="I519" s="4" t="n">
        <f aca="false">IFERROR(IF(AND(VLOOKUP($B519,Ref_Acuerdos!$A:$E,2,FALSE())="PTA",$A519&gt;=VLOOKUP($B519,Ref_Acuerdos!$A:$E,3,FALSE())),1,0),0)</f>
        <v>0</v>
      </c>
      <c r="J519" s="7" t="str">
        <f aca="false">IFERROR(IF($A519&gt;=VLOOKUP($B519,Ref_Acuerdos!$A:$E,3,FALSE()),VLOOKUP($B519,Ref_Acuerdos!$A:$E,4,FALSE()),""),"")</f>
        <v/>
      </c>
      <c r="K519" s="4" t="str">
        <f aca="false">IFERROR(IF($A519&gt;=VLOOKUP($B519,Ref_Acuerdos!$A:$E,3,FALSE()),VLOOKUP($B519,Ref_Acuerdos!$A:$E,5,FALSE()),"Sin FTA/PTA vigente ese año - arancel NMF"),"Sin FTA/PTA identificado - arancel NMF")</f>
        <v>Sin FTA/PTA vigente ese año - arancel NMF</v>
      </c>
    </row>
    <row r="520" customFormat="false" ht="15" hidden="false" customHeight="false" outlineLevel="0" collapsed="false">
      <c r="A520" s="2" t="n">
        <v>2016</v>
      </c>
      <c r="B520" s="2" t="s">
        <v>54</v>
      </c>
      <c r="C520" s="4" t="str">
        <f aca="false">IFERROR(VLOOKUP($B520,Ref_Continente!$A:$B,2,FALSE()),"Sin clasificar")</f>
        <v>Asia</v>
      </c>
      <c r="D520" s="5" t="n">
        <v>87</v>
      </c>
      <c r="E520" s="6" t="n">
        <v>10</v>
      </c>
      <c r="F520" s="6" t="n">
        <v>19300</v>
      </c>
      <c r="G520" s="5" t="n">
        <v>931877364037.7</v>
      </c>
      <c r="H520" s="4" t="n">
        <f aca="false">IFERROR(IF(AND(VLOOKUP($B520,Ref_Acuerdos!$A:$E,2,FALSE())="FTA",$A520&gt;=VLOOKUP($B520,Ref_Acuerdos!$A:$E,3,FALSE())),1,0),0)</f>
        <v>0</v>
      </c>
      <c r="I520" s="4" t="n">
        <f aca="false">IFERROR(IF(AND(VLOOKUP($B520,Ref_Acuerdos!$A:$E,2,FALSE())="PTA",$A520&gt;=VLOOKUP($B520,Ref_Acuerdos!$A:$E,3,FALSE())),1,0),0)</f>
        <v>0</v>
      </c>
      <c r="J520" s="7" t="str">
        <f aca="false">IFERROR(IF($A520&gt;=VLOOKUP($B520,Ref_Acuerdos!$A:$E,3,FALSE()),VLOOKUP($B520,Ref_Acuerdos!$A:$E,4,FALSE()),""),"")</f>
        <v/>
      </c>
      <c r="K520" s="4" t="str">
        <f aca="false">IFERROR(IF($A520&gt;=VLOOKUP($B520,Ref_Acuerdos!$A:$E,3,FALSE()),VLOOKUP($B520,Ref_Acuerdos!$A:$E,5,FALSE()),"Sin FTA/PTA vigente ese año - arancel NMF"),"Sin FTA/PTA identificado - arancel NMF")</f>
        <v>Sin FTA/PTA identificado - arancel NMF</v>
      </c>
    </row>
    <row r="521" customFormat="false" ht="15" hidden="false" customHeight="false" outlineLevel="0" collapsed="false">
      <c r="A521" s="2" t="n">
        <v>2016</v>
      </c>
      <c r="B521" s="2" t="s">
        <v>46</v>
      </c>
      <c r="C521" s="4" t="str">
        <f aca="false">IFERROR(VLOOKUP($B521,Ref_Continente!$A:$B,2,FALSE()),"Sin clasificar")</f>
        <v>Europe</v>
      </c>
      <c r="D521" s="5" t="n">
        <v>54</v>
      </c>
      <c r="E521" s="6" t="n">
        <v>38</v>
      </c>
      <c r="F521" s="6" t="n">
        <v>11250</v>
      </c>
      <c r="G521" s="5" t="n">
        <v>193097239005.87</v>
      </c>
      <c r="H521" s="4" t="n">
        <f aca="false">IFERROR(IF(AND(VLOOKUP($B521,Ref_Acuerdos!$A:$E,2,FALSE())="FTA",$A521&gt;=VLOOKUP($B521,Ref_Acuerdos!$A:$E,3,FALSE())),1,0),0)</f>
        <v>0</v>
      </c>
      <c r="I521" s="4" t="n">
        <f aca="false">IFERROR(IF(AND(VLOOKUP($B521,Ref_Acuerdos!$A:$E,2,FALSE())="PTA",$A521&gt;=VLOOKUP($B521,Ref_Acuerdos!$A:$E,3,FALSE())),1,0),0)</f>
        <v>0</v>
      </c>
      <c r="J521" s="7" t="str">
        <f aca="false">IFERROR(IF($A521&gt;=VLOOKUP($B521,Ref_Acuerdos!$A:$E,3,FALSE()),VLOOKUP($B521,Ref_Acuerdos!$A:$E,4,FALSE()),""),"")</f>
        <v/>
      </c>
      <c r="K521" s="4" t="str">
        <f aca="false">IFERROR(IF($A521&gt;=VLOOKUP($B521,Ref_Acuerdos!$A:$E,3,FALSE()),VLOOKUP($B521,Ref_Acuerdos!$A:$E,5,FALSE()),"Sin FTA/PTA vigente ese año - arancel NMF"),"Sin FTA/PTA identificado - arancel NMF")</f>
        <v>Sin FTA/PTA vigente ese año - arancel NMF</v>
      </c>
    </row>
    <row r="522" customFormat="false" ht="15" hidden="false" customHeight="false" outlineLevel="0" collapsed="false">
      <c r="A522" s="2" t="n">
        <v>2016</v>
      </c>
      <c r="B522" s="2" t="s">
        <v>102</v>
      </c>
      <c r="C522" s="4" t="str">
        <f aca="false">IFERROR(VLOOKUP($B522,Ref_Continente!$A:$B,2,FALSE()),"Sin clasificar")</f>
        <v>Asia</v>
      </c>
      <c r="D522" s="5" t="n">
        <v>9</v>
      </c>
      <c r="E522" s="6" t="n">
        <v>1</v>
      </c>
      <c r="F522" s="6" t="n">
        <v>18800</v>
      </c>
      <c r="G522" s="5" t="n">
        <v>319646468521.5</v>
      </c>
      <c r="H522" s="4" t="n">
        <f aca="false">IFERROR(IF(AND(VLOOKUP($B522,Ref_Acuerdos!$A:$E,2,FALSE())="FTA",$A522&gt;=VLOOKUP($B522,Ref_Acuerdos!$A:$E,3,FALSE())),1,0),0)</f>
        <v>0</v>
      </c>
      <c r="I522" s="4" t="n">
        <f aca="false">IFERROR(IF(AND(VLOOKUP($B522,Ref_Acuerdos!$A:$E,2,FALSE())="PTA",$A522&gt;=VLOOKUP($B522,Ref_Acuerdos!$A:$E,3,FALSE())),1,0),0)</f>
        <v>0</v>
      </c>
      <c r="J522" s="7" t="str">
        <f aca="false">IFERROR(IF($A522&gt;=VLOOKUP($B522,Ref_Acuerdos!$A:$E,3,FALSE()),VLOOKUP($B522,Ref_Acuerdos!$A:$E,4,FALSE()),""),"")</f>
        <v/>
      </c>
      <c r="K522" s="4" t="str">
        <f aca="false">IFERROR(IF($A522&gt;=VLOOKUP($B522,Ref_Acuerdos!$A:$E,3,FALSE()),VLOOKUP($B522,Ref_Acuerdos!$A:$E,5,FALSE()),"Sin FTA/PTA vigente ese año - arancel NMF"),"Sin FTA/PTA identificado - arancel NMF")</f>
        <v>Sin FTA/PTA identificado - arancel NMF</v>
      </c>
    </row>
    <row r="523" customFormat="false" ht="15" hidden="false" customHeight="false" outlineLevel="0" collapsed="false">
      <c r="A523" s="2" t="n">
        <v>2016</v>
      </c>
      <c r="B523" s="2" t="s">
        <v>17</v>
      </c>
      <c r="C523" s="4" t="str">
        <f aca="false">IFERROR(VLOOKUP($B523,Ref_Continente!$A:$B,2,FALSE()),"Sin clasificar")</f>
        <v>North America</v>
      </c>
      <c r="D523" s="5" t="n">
        <v>1</v>
      </c>
      <c r="E523" s="6" t="n">
        <v>0</v>
      </c>
      <c r="F523" s="6"/>
      <c r="G523" s="5"/>
      <c r="H523" s="4" t="n">
        <f aca="false">IFERROR(IF(AND(VLOOKUP($B523,Ref_Acuerdos!$A:$E,2,FALSE())="FTA",$A523&gt;=VLOOKUP($B523,Ref_Acuerdos!$A:$E,3,FALSE())),1,0),0)</f>
        <v>0</v>
      </c>
      <c r="I523" s="4" t="n">
        <f aca="false">IFERROR(IF(AND(VLOOKUP($B523,Ref_Acuerdos!$A:$E,2,FALSE())="PTA",$A523&gt;=VLOOKUP($B523,Ref_Acuerdos!$A:$E,3,FALSE())),1,0),0)</f>
        <v>0</v>
      </c>
      <c r="J523" s="7" t="str">
        <f aca="false">IFERROR(IF($A523&gt;=VLOOKUP($B523,Ref_Acuerdos!$A:$E,3,FALSE()),VLOOKUP($B523,Ref_Acuerdos!$A:$E,4,FALSE()),""),"")</f>
        <v/>
      </c>
      <c r="K523" s="4" t="str">
        <f aca="false">IFERROR(IF($A523&gt;=VLOOKUP($B523,Ref_Acuerdos!$A:$E,3,FALSE()),VLOOKUP($B523,Ref_Acuerdos!$A:$E,5,FALSE()),"Sin FTA/PTA vigente ese año - arancel NMF"),"Sin FTA/PTA identificado - arancel NMF")</f>
        <v>Sin FTA/PTA identificado - arancel NMF</v>
      </c>
    </row>
    <row r="524" customFormat="false" ht="15" hidden="false" customHeight="false" outlineLevel="0" collapsed="false">
      <c r="A524" s="2" t="n">
        <v>2017</v>
      </c>
      <c r="B524" s="2" t="s">
        <v>96</v>
      </c>
      <c r="C524" s="4" t="str">
        <f aca="false">IFERROR(VLOOKUP($B524,Ref_Continente!$A:$B,2,FALSE()),"Sin clasificar")</f>
        <v>Europe</v>
      </c>
      <c r="D524" s="5" t="n">
        <v>6490347</v>
      </c>
      <c r="E524" s="6" t="n">
        <v>1609934</v>
      </c>
      <c r="F524" s="6" t="n">
        <v>12000</v>
      </c>
      <c r="G524" s="5" t="n">
        <v>1574199360089</v>
      </c>
      <c r="H524" s="4" t="n">
        <f aca="false">IFERROR(IF(AND(VLOOKUP($B524,Ref_Acuerdos!$A:$E,2,FALSE())="FTA",$A524&gt;=VLOOKUP($B524,Ref_Acuerdos!$A:$E,3,FALSE())),1,0),0)</f>
        <v>0</v>
      </c>
      <c r="I524" s="4" t="n">
        <f aca="false">IFERROR(IF(AND(VLOOKUP($B524,Ref_Acuerdos!$A:$E,2,FALSE())="PTA",$A524&gt;=VLOOKUP($B524,Ref_Acuerdos!$A:$E,3,FALSE())),1,0),0)</f>
        <v>0</v>
      </c>
      <c r="J524" s="7" t="str">
        <f aca="false">IFERROR(IF($A524&gt;=VLOOKUP($B524,Ref_Acuerdos!$A:$E,3,FALSE()),VLOOKUP($B524,Ref_Acuerdos!$A:$E,4,FALSE()),""),"")</f>
        <v/>
      </c>
      <c r="K524" s="4" t="str">
        <f aca="false">IFERROR(IF($A524&gt;=VLOOKUP($B524,Ref_Acuerdos!$A:$E,3,FALSE()),VLOOKUP($B524,Ref_Acuerdos!$A:$E,5,FALSE()),"Sin FTA/PTA vigente ese año - arancel NMF"),"Sin FTA/PTA identificado - arancel NMF")</f>
        <v>Sin FTA/PTA identificado - arancel NMF</v>
      </c>
    </row>
    <row r="525" customFormat="false" ht="15" hidden="false" customHeight="false" outlineLevel="0" collapsed="false">
      <c r="A525" s="2" t="n">
        <v>2017</v>
      </c>
      <c r="B525" s="2" t="s">
        <v>61</v>
      </c>
      <c r="C525" s="4" t="str">
        <f aca="false">IFERROR(VLOOKUP($B525,Ref_Continente!$A:$B,2,FALSE()),"Sin clasificar")</f>
        <v>Asia</v>
      </c>
      <c r="D525" s="5" t="n">
        <v>5219842</v>
      </c>
      <c r="E525" s="6" t="n">
        <v>958532.2</v>
      </c>
      <c r="F525" s="6" t="n">
        <v>14500</v>
      </c>
      <c r="G525" s="5" t="n">
        <v>4930837369151.42</v>
      </c>
      <c r="H525" s="4" t="n">
        <f aca="false">IFERROR(IF(AND(VLOOKUP($B525,Ref_Acuerdos!$A:$E,2,FALSE())="FTA",$A525&gt;=VLOOKUP($B525,Ref_Acuerdos!$A:$E,3,FALSE())),1,0),0)</f>
        <v>0</v>
      </c>
      <c r="I525" s="4" t="n">
        <f aca="false">IFERROR(IF(AND(VLOOKUP($B525,Ref_Acuerdos!$A:$E,2,FALSE())="PTA",$A525&gt;=VLOOKUP($B525,Ref_Acuerdos!$A:$E,3,FALSE())),1,0),0)</f>
        <v>0</v>
      </c>
      <c r="J525" s="7" t="str">
        <f aca="false">IFERROR(IF($A525&gt;=VLOOKUP($B525,Ref_Acuerdos!$A:$E,3,FALSE()),VLOOKUP($B525,Ref_Acuerdos!$A:$E,4,FALSE()),""),"")</f>
        <v/>
      </c>
      <c r="K525" s="4" t="str">
        <f aca="false">IFERROR(IF($A525&gt;=VLOOKUP($B525,Ref_Acuerdos!$A:$E,3,FALSE()),VLOOKUP($B525,Ref_Acuerdos!$A:$E,5,FALSE()),"Sin FTA/PTA vigente ese año - arancel NMF"),"Sin FTA/PTA identificado - arancel NMF")</f>
        <v>Sin FTA/PTA identificado - arancel NMF</v>
      </c>
    </row>
    <row r="526" customFormat="false" ht="15" hidden="false" customHeight="false" outlineLevel="0" collapsed="false">
      <c r="A526" s="2" t="n">
        <v>2017</v>
      </c>
      <c r="B526" s="2" t="s">
        <v>114</v>
      </c>
      <c r="C526" s="4" t="str">
        <f aca="false">IFERROR(VLOOKUP($B526,Ref_Continente!$A:$B,2,FALSE()),"Sin clasificar")</f>
        <v>North America</v>
      </c>
      <c r="D526" s="5" t="n">
        <v>1965877</v>
      </c>
      <c r="E526" s="6" t="n">
        <v>488011.1</v>
      </c>
      <c r="F526" s="6" t="n">
        <v>4550</v>
      </c>
      <c r="G526" s="5" t="n">
        <v>19477336549000</v>
      </c>
      <c r="H526" s="4" t="n">
        <f aca="false">IFERROR(IF(AND(VLOOKUP($B526,Ref_Acuerdos!$A:$E,2,FALSE())="FTA",$A526&gt;=VLOOKUP($B526,Ref_Acuerdos!$A:$E,3,FALSE())),1,0),0)</f>
        <v>0</v>
      </c>
      <c r="I526" s="4" t="n">
        <f aca="false">IFERROR(IF(AND(VLOOKUP($B526,Ref_Acuerdos!$A:$E,2,FALSE())="PTA",$A526&gt;=VLOOKUP($B526,Ref_Acuerdos!$A:$E,3,FALSE())),1,0),0)</f>
        <v>0</v>
      </c>
      <c r="J526" s="7" t="str">
        <f aca="false">IFERROR(IF($A526&gt;=VLOOKUP($B526,Ref_Acuerdos!$A:$E,3,FALSE()),VLOOKUP($B526,Ref_Acuerdos!$A:$E,4,FALSE()),""),"")</f>
        <v/>
      </c>
      <c r="K526" s="4" t="str">
        <f aca="false">IFERROR(IF($A526&gt;=VLOOKUP($B526,Ref_Acuerdos!$A:$E,3,FALSE()),VLOOKUP($B526,Ref_Acuerdos!$A:$E,5,FALSE()),"Sin FTA/PTA vigente ese año - arancel NMF"),"Sin FTA/PTA identificado - arancel NMF")</f>
        <v>Sin FTA/PTA identificado - arancel NMF</v>
      </c>
    </row>
    <row r="527" customFormat="false" ht="15" hidden="false" customHeight="false" outlineLevel="0" collapsed="false">
      <c r="A527" s="2" t="n">
        <v>2017</v>
      </c>
      <c r="B527" s="2" t="s">
        <v>77</v>
      </c>
      <c r="C527" s="4" t="str">
        <f aca="false">IFERROR(VLOOKUP($B527,Ref_Continente!$A:$B,2,FALSE()),"Sin clasificar")</f>
        <v>Europe</v>
      </c>
      <c r="D527" s="5" t="n">
        <v>856828</v>
      </c>
      <c r="E527" s="6" t="n">
        <v>173141.1</v>
      </c>
      <c r="F527" s="6" t="n">
        <v>9300</v>
      </c>
      <c r="G527" s="5" t="n">
        <v>848233537845.88</v>
      </c>
      <c r="H527" s="4" t="n">
        <f aca="false">IFERROR(IF(AND(VLOOKUP($B527,Ref_Acuerdos!$A:$E,2,FALSE())="FTA",$A527&gt;=VLOOKUP($B527,Ref_Acuerdos!$A:$E,3,FALSE())),1,0),0)</f>
        <v>1</v>
      </c>
      <c r="I527" s="4" t="n">
        <f aca="false">IFERROR(IF(AND(VLOOKUP($B527,Ref_Acuerdos!$A:$E,2,FALSE())="PTA",$A527&gt;=VLOOKUP($B527,Ref_Acuerdos!$A:$E,3,FALSE())),1,0),0)</f>
        <v>0</v>
      </c>
      <c r="J527" s="7" t="n">
        <f aca="false">IFERROR(IF($A527&gt;=VLOOKUP($B527,Ref_Acuerdos!$A:$E,3,FALSE()),VLOOKUP($B527,Ref_Acuerdos!$A:$E,4,FALSE()),""),"")</f>
        <v>0</v>
      </c>
      <c r="K527" s="4" t="str">
        <f aca="false">IFERROR(IF($A527&gt;=VLOOKUP($B527,Ref_Acuerdos!$A:$E,3,FALSE()),VLOOKUP($B527,Ref_Acuerdos!$A:$E,5,FALSE()),"Sin FTA/PTA vigente ese año - arancel NMF"),"Sin FTA/PTA identificado - arancel NMF")</f>
        <v>UE-Ecuador Acuerdo Multipartes, vigente desde ene-2017</v>
      </c>
    </row>
    <row r="528" customFormat="false" ht="15" hidden="false" customHeight="false" outlineLevel="0" collapsed="false">
      <c r="A528" s="2" t="n">
        <v>2017</v>
      </c>
      <c r="B528" s="2" t="s">
        <v>105</v>
      </c>
      <c r="C528" s="4" t="str">
        <f aca="false">IFERROR(VLOOKUP($B528,Ref_Continente!$A:$B,2,FALSE()),"Sin clasificar")</f>
        <v>Europe</v>
      </c>
      <c r="D528" s="5" t="n">
        <v>627855</v>
      </c>
      <c r="E528" s="6" t="n">
        <v>138243.2</v>
      </c>
      <c r="F528" s="6" t="n">
        <v>8700</v>
      </c>
      <c r="G528" s="5" t="n">
        <v>1321754088818.83</v>
      </c>
      <c r="H528" s="4" t="n">
        <f aca="false">IFERROR(IF(AND(VLOOKUP($B528,Ref_Acuerdos!$A:$E,2,FALSE())="FTA",$A528&gt;=VLOOKUP($B528,Ref_Acuerdos!$A:$E,3,FALSE())),1,0),0)</f>
        <v>1</v>
      </c>
      <c r="I528" s="4" t="n">
        <f aca="false">IFERROR(IF(AND(VLOOKUP($B528,Ref_Acuerdos!$A:$E,2,FALSE())="PTA",$A528&gt;=VLOOKUP($B528,Ref_Acuerdos!$A:$E,3,FALSE())),1,0),0)</f>
        <v>0</v>
      </c>
      <c r="J528" s="7" t="n">
        <f aca="false">IFERROR(IF($A528&gt;=VLOOKUP($B528,Ref_Acuerdos!$A:$E,3,FALSE()),VLOOKUP($B528,Ref_Acuerdos!$A:$E,4,FALSE()),""),"")</f>
        <v>0</v>
      </c>
      <c r="K528" s="4" t="str">
        <f aca="false">IFERROR(IF($A528&gt;=VLOOKUP($B528,Ref_Acuerdos!$A:$E,3,FALSE()),VLOOKUP($B528,Ref_Acuerdos!$A:$E,5,FALSE()),"Sin FTA/PTA vigente ese año - arancel NMF"),"Sin FTA/PTA identificado - arancel NMF")</f>
        <v>UE-Ecuador Acuerdo Multipartes, vigente desde ene-2017</v>
      </c>
    </row>
    <row r="529" customFormat="false" ht="15" hidden="false" customHeight="false" outlineLevel="0" collapsed="false">
      <c r="A529" s="2" t="n">
        <v>2017</v>
      </c>
      <c r="B529" s="2" t="s">
        <v>12</v>
      </c>
      <c r="C529" s="4" t="str">
        <f aca="false">IFERROR(VLOOKUP($B529,Ref_Continente!$A:$B,2,FALSE()),"Sin clasificar")</f>
        <v>Oceania</v>
      </c>
      <c r="D529" s="5" t="n">
        <v>423161</v>
      </c>
      <c r="E529" s="6" t="n">
        <v>66461.5</v>
      </c>
      <c r="F529" s="6" t="n">
        <v>14000</v>
      </c>
      <c r="G529" s="5" t="n">
        <v>1330890554614.09</v>
      </c>
      <c r="H529" s="4" t="n">
        <f aca="false">IFERROR(IF(AND(VLOOKUP($B529,Ref_Acuerdos!$A:$E,2,FALSE())="FTA",$A529&gt;=VLOOKUP($B529,Ref_Acuerdos!$A:$E,3,FALSE())),1,0),0)</f>
        <v>0</v>
      </c>
      <c r="I529" s="4" t="n">
        <f aca="false">IFERROR(IF(AND(VLOOKUP($B529,Ref_Acuerdos!$A:$E,2,FALSE())="PTA",$A529&gt;=VLOOKUP($B529,Ref_Acuerdos!$A:$E,3,FALSE())),1,0),0)</f>
        <v>0</v>
      </c>
      <c r="J529" s="7" t="str">
        <f aca="false">IFERROR(IF($A529&gt;=VLOOKUP($B529,Ref_Acuerdos!$A:$E,3,FALSE()),VLOOKUP($B529,Ref_Acuerdos!$A:$E,4,FALSE()),""),"")</f>
        <v/>
      </c>
      <c r="K529" s="4" t="str">
        <f aca="false">IFERROR(IF($A529&gt;=VLOOKUP($B529,Ref_Acuerdos!$A:$E,3,FALSE()),VLOOKUP($B529,Ref_Acuerdos!$A:$E,5,FALSE()),"Sin FTA/PTA vigente ese año - arancel NMF"),"Sin FTA/PTA identificado - arancel NMF")</f>
        <v>Sin FTA/PTA identificado - arancel NMF</v>
      </c>
    </row>
    <row r="530" customFormat="false" ht="15" hidden="false" customHeight="false" outlineLevel="0" collapsed="false">
      <c r="A530" s="2" t="n">
        <v>2017</v>
      </c>
      <c r="B530" s="2" t="s">
        <v>66</v>
      </c>
      <c r="C530" s="4" t="str">
        <f aca="false">IFERROR(VLOOKUP($B530,Ref_Continente!$A:$B,2,FALSE()),"Sin clasificar")</f>
        <v>Europe</v>
      </c>
      <c r="D530" s="5" t="n">
        <v>275977</v>
      </c>
      <c r="E530" s="6" t="n">
        <v>67357.9</v>
      </c>
      <c r="F530" s="6" t="n">
        <v>10400</v>
      </c>
      <c r="G530" s="5" t="n">
        <v>29391059767.43</v>
      </c>
      <c r="H530" s="4" t="n">
        <f aca="false">IFERROR(IF(AND(VLOOKUP($B530,Ref_Acuerdos!$A:$E,2,FALSE())="FTA",$A530&gt;=VLOOKUP($B530,Ref_Acuerdos!$A:$E,3,FALSE())),1,0),0)</f>
        <v>1</v>
      </c>
      <c r="I530" s="4" t="n">
        <f aca="false">IFERROR(IF(AND(VLOOKUP($B530,Ref_Acuerdos!$A:$E,2,FALSE())="PTA",$A530&gt;=VLOOKUP($B530,Ref_Acuerdos!$A:$E,3,FALSE())),1,0),0)</f>
        <v>0</v>
      </c>
      <c r="J530" s="7" t="n">
        <f aca="false">IFERROR(IF($A530&gt;=VLOOKUP($B530,Ref_Acuerdos!$A:$E,3,FALSE()),VLOOKUP($B530,Ref_Acuerdos!$A:$E,4,FALSE()),""),"")</f>
        <v>0</v>
      </c>
      <c r="K530" s="4" t="str">
        <f aca="false">IFERROR(IF($A530&gt;=VLOOKUP($B530,Ref_Acuerdos!$A:$E,3,FALSE()),VLOOKUP($B530,Ref_Acuerdos!$A:$E,5,FALSE()),"Sin FTA/PTA vigente ese año - arancel NMF"),"Sin FTA/PTA identificado - arancel NMF")</f>
        <v>UE-Ecuador Acuerdo Multipartes, vigente desde ene-2017</v>
      </c>
    </row>
    <row r="531" customFormat="false" ht="15" hidden="false" customHeight="false" outlineLevel="0" collapsed="false">
      <c r="A531" s="2" t="n">
        <v>2017</v>
      </c>
      <c r="B531" s="2" t="s">
        <v>115</v>
      </c>
      <c r="C531" s="4" t="str">
        <f aca="false">IFERROR(VLOOKUP($B531,Ref_Continente!$A:$B,2,FALSE()),"Sin clasificar")</f>
        <v>Europe</v>
      </c>
      <c r="D531" s="5" t="n">
        <v>247957</v>
      </c>
      <c r="E531" s="6" t="n">
        <v>58252.9</v>
      </c>
      <c r="F531" s="6" t="n">
        <v>11</v>
      </c>
      <c r="G531" s="5" t="n">
        <v>112090505081.74</v>
      </c>
      <c r="H531" s="4" t="n">
        <f aca="false">IFERROR(IF(AND(VLOOKUP($B531,Ref_Acuerdos!$A:$E,2,FALSE())="FTA",$A531&gt;=VLOOKUP($B531,Ref_Acuerdos!$A:$E,3,FALSE())),1,0),0)</f>
        <v>0</v>
      </c>
      <c r="I531" s="4" t="n">
        <f aca="false">IFERROR(IF(AND(VLOOKUP($B531,Ref_Acuerdos!$A:$E,2,FALSE())="PTA",$A531&gt;=VLOOKUP($B531,Ref_Acuerdos!$A:$E,3,FALSE())),1,0),0)</f>
        <v>0</v>
      </c>
      <c r="J531" s="7" t="str">
        <f aca="false">IFERROR(IF($A531&gt;=VLOOKUP($B531,Ref_Acuerdos!$A:$E,3,FALSE()),VLOOKUP($B531,Ref_Acuerdos!$A:$E,4,FALSE()),""),"")</f>
        <v/>
      </c>
      <c r="K531" s="4" t="str">
        <f aca="false">IFERROR(IF($A531&gt;=VLOOKUP($B531,Ref_Acuerdos!$A:$E,3,FALSE()),VLOOKUP($B531,Ref_Acuerdos!$A:$E,5,FALSE()),"Sin FTA/PTA vigente ese año - arancel NMF"),"Sin FTA/PTA identificado - arancel NMF")</f>
        <v>Sin FTA/PTA identificado - arancel NMF</v>
      </c>
    </row>
    <row r="532" customFormat="false" ht="15" hidden="false" customHeight="false" outlineLevel="0" collapsed="false">
      <c r="A532" s="2" t="n">
        <v>2017</v>
      </c>
      <c r="B532" s="2" t="s">
        <v>63</v>
      </c>
      <c r="C532" s="4" t="str">
        <f aca="false">IFERROR(VLOOKUP($B532,Ref_Continente!$A:$B,2,FALSE()),"Sin clasificar")</f>
        <v>Asia</v>
      </c>
      <c r="D532" s="5" t="n">
        <v>161340</v>
      </c>
      <c r="E532" s="6" t="n">
        <v>37548.7</v>
      </c>
      <c r="F532" s="6" t="n">
        <v>13600</v>
      </c>
      <c r="G532" s="5" t="n">
        <v>166805788827.23</v>
      </c>
      <c r="H532" s="4" t="n">
        <f aca="false">IFERROR(IF(AND(VLOOKUP($B532,Ref_Acuerdos!$A:$E,2,FALSE())="FTA",$A532&gt;=VLOOKUP($B532,Ref_Acuerdos!$A:$E,3,FALSE())),1,0),0)</f>
        <v>0</v>
      </c>
      <c r="I532" s="4" t="n">
        <f aca="false">IFERROR(IF(AND(VLOOKUP($B532,Ref_Acuerdos!$A:$E,2,FALSE())="PTA",$A532&gt;=VLOOKUP($B532,Ref_Acuerdos!$A:$E,3,FALSE())),1,0),0)</f>
        <v>0</v>
      </c>
      <c r="J532" s="7" t="str">
        <f aca="false">IFERROR(IF($A532&gt;=VLOOKUP($B532,Ref_Acuerdos!$A:$E,3,FALSE()),VLOOKUP($B532,Ref_Acuerdos!$A:$E,4,FALSE()),""),"")</f>
        <v/>
      </c>
      <c r="K532" s="4" t="str">
        <f aca="false">IFERROR(IF($A532&gt;=VLOOKUP($B532,Ref_Acuerdos!$A:$E,3,FALSE()),VLOOKUP($B532,Ref_Acuerdos!$A:$E,5,FALSE()),"Sin FTA/PTA vigente ese año - arancel NMF"),"Sin FTA/PTA identificado - arancel NMF")</f>
        <v>Sin FTA/PTA identificado - arancel NMF</v>
      </c>
    </row>
    <row r="533" customFormat="false" ht="15" hidden="false" customHeight="false" outlineLevel="0" collapsed="false">
      <c r="A533" s="2" t="n">
        <v>2017</v>
      </c>
      <c r="B533" s="2" t="s">
        <v>118</v>
      </c>
      <c r="C533" s="4" t="str">
        <f aca="false">IFERROR(VLOOKUP($B533,Ref_Continente!$A:$B,2,FALSE()),"Sin clasificar")</f>
        <v>South America</v>
      </c>
      <c r="D533" s="5" t="n">
        <v>137605</v>
      </c>
      <c r="E533" s="6" t="n">
        <v>28897</v>
      </c>
      <c r="F533" s="6" t="n">
        <v>4650</v>
      </c>
      <c r="G533" s="5" t="n">
        <v>65005997963.48</v>
      </c>
      <c r="H533" s="4" t="n">
        <f aca="false">IFERROR(IF(AND(VLOOKUP($B533,Ref_Acuerdos!$A:$E,2,FALSE())="FTA",$A533&gt;=VLOOKUP($B533,Ref_Acuerdos!$A:$E,3,FALSE())),1,0),0)</f>
        <v>0</v>
      </c>
      <c r="I533" s="4" t="n">
        <f aca="false">IFERROR(IF(AND(VLOOKUP($B533,Ref_Acuerdos!$A:$E,2,FALSE())="PTA",$A533&gt;=VLOOKUP($B533,Ref_Acuerdos!$A:$E,3,FALSE())),1,0),0)</f>
        <v>1</v>
      </c>
      <c r="J533" s="7" t="n">
        <f aca="false">IFERROR(IF($A533&gt;=VLOOKUP($B533,Ref_Acuerdos!$A:$E,3,FALSE()),VLOOKUP($B533,Ref_Acuerdos!$A:$E,4,FALSE()),""),"")</f>
        <v>5</v>
      </c>
      <c r="K533" s="4" t="str">
        <f aca="false">IFERROR(IF($A533&gt;=VLOOKUP($B533,Ref_Acuerdos!$A:$E,3,FALSE()),VLOOKUP($B533,Ref_Acuerdos!$A:$E,5,FALSE()),"Sin FTA/PTA vigente ese año - arancel NMF"),"Sin FTA/PTA identificado - arancel NMF")</f>
        <v>Ecuador-Mercosur ACE 59 - preferencias parciales (tarifa referencial)</v>
      </c>
    </row>
    <row r="534" customFormat="false" ht="15" hidden="false" customHeight="false" outlineLevel="0" collapsed="false">
      <c r="A534" s="2" t="n">
        <v>2017</v>
      </c>
      <c r="B534" s="2" t="s">
        <v>26</v>
      </c>
      <c r="C534" s="4" t="str">
        <f aca="false">IFERROR(VLOOKUP($B534,Ref_Continente!$A:$B,2,FALSE()),"Sin clasificar")</f>
        <v>South America</v>
      </c>
      <c r="D534" s="5" t="n">
        <v>121096</v>
      </c>
      <c r="E534" s="6" t="n">
        <v>44047.3</v>
      </c>
      <c r="F534" s="6" t="n">
        <v>2600</v>
      </c>
      <c r="G534" s="5" t="n">
        <v>276154259981.1</v>
      </c>
      <c r="H534" s="4" t="n">
        <f aca="false">IFERROR(IF(AND(VLOOKUP($B534,Ref_Acuerdos!$A:$E,2,FALSE())="FTA",$A534&gt;=VLOOKUP($B534,Ref_Acuerdos!$A:$E,3,FALSE())),1,0),0)</f>
        <v>1</v>
      </c>
      <c r="I534" s="4" t="n">
        <f aca="false">IFERROR(IF(AND(VLOOKUP($B534,Ref_Acuerdos!$A:$E,2,FALSE())="PTA",$A534&gt;=VLOOKUP($B534,Ref_Acuerdos!$A:$E,3,FALSE())),1,0),0)</f>
        <v>0</v>
      </c>
      <c r="J534" s="7" t="n">
        <f aca="false">IFERROR(IF($A534&gt;=VLOOKUP($B534,Ref_Acuerdos!$A:$E,3,FALSE()),VLOOKUP($B534,Ref_Acuerdos!$A:$E,4,FALSE()),""),"")</f>
        <v>0</v>
      </c>
      <c r="K534" s="4" t="str">
        <f aca="false">IFERROR(IF($A534&gt;=VLOOKUP($B534,Ref_Acuerdos!$A:$E,3,FALSE()),VLOOKUP($B534,Ref_Acuerdos!$A:$E,5,FALSE()),"Sin FTA/PTA vigente ese año - arancel NMF"),"Sin FTA/PTA identificado - arancel NMF")</f>
        <v>Ecuador-Chile ACE 65, vigente desde 2010</v>
      </c>
    </row>
    <row r="535" customFormat="false" ht="15" hidden="false" customHeight="false" outlineLevel="0" collapsed="false">
      <c r="A535" s="2" t="n">
        <v>2017</v>
      </c>
      <c r="B535" s="2" t="s">
        <v>90</v>
      </c>
      <c r="C535" s="4" t="str">
        <f aca="false">IFERROR(VLOOKUP($B535,Ref_Continente!$A:$B,2,FALSE()),"Sin clasificar")</f>
        <v>Europe</v>
      </c>
      <c r="D535" s="5" t="n">
        <v>109658</v>
      </c>
      <c r="E535" s="6" t="n">
        <v>26096.7</v>
      </c>
      <c r="F535" s="6" t="n">
        <v>10300</v>
      </c>
      <c r="G535" s="5" t="n">
        <v>528356676667.21</v>
      </c>
      <c r="H535" s="4" t="n">
        <f aca="false">IFERROR(IF(AND(VLOOKUP($B535,Ref_Acuerdos!$A:$E,2,FALSE())="FTA",$A535&gt;=VLOOKUP($B535,Ref_Acuerdos!$A:$E,3,FALSE())),1,0),0)</f>
        <v>1</v>
      </c>
      <c r="I535" s="4" t="n">
        <f aca="false">IFERROR(IF(AND(VLOOKUP($B535,Ref_Acuerdos!$A:$E,2,FALSE())="PTA",$A535&gt;=VLOOKUP($B535,Ref_Acuerdos!$A:$E,3,FALSE())),1,0),0)</f>
        <v>0</v>
      </c>
      <c r="J535" s="7" t="n">
        <f aca="false">IFERROR(IF($A535&gt;=VLOOKUP($B535,Ref_Acuerdos!$A:$E,3,FALSE()),VLOOKUP($B535,Ref_Acuerdos!$A:$E,4,FALSE()),""),"")</f>
        <v>0</v>
      </c>
      <c r="K535" s="4" t="str">
        <f aca="false">IFERROR(IF($A535&gt;=VLOOKUP($B535,Ref_Acuerdos!$A:$E,3,FALSE()),VLOOKUP($B535,Ref_Acuerdos!$A:$E,5,FALSE()),"Sin FTA/PTA vigente ese año - arancel NMF"),"Sin FTA/PTA identificado - arancel NMF")</f>
        <v>UE-Ecuador Acuerdo Multipartes, vigente desde ene-2017</v>
      </c>
    </row>
    <row r="536" customFormat="false" ht="15" hidden="false" customHeight="false" outlineLevel="0" collapsed="false">
      <c r="A536" s="2" t="n">
        <v>2017</v>
      </c>
      <c r="B536" s="2" t="s">
        <v>59</v>
      </c>
      <c r="C536" s="4" t="str">
        <f aca="false">IFERROR(VLOOKUP($B536,Ref_Continente!$A:$B,2,FALSE()),"Sin clasificar")</f>
        <v>Europe</v>
      </c>
      <c r="D536" s="5" t="n">
        <v>104961</v>
      </c>
      <c r="E536" s="6" t="n">
        <v>23163</v>
      </c>
      <c r="F536" s="6" t="n">
        <v>10100</v>
      </c>
      <c r="G536" s="5" t="n">
        <v>1970720904584.71</v>
      </c>
      <c r="H536" s="4" t="n">
        <f aca="false">IFERROR(IF(AND(VLOOKUP($B536,Ref_Acuerdos!$A:$E,2,FALSE())="FTA",$A536&gt;=VLOOKUP($B536,Ref_Acuerdos!$A:$E,3,FALSE())),1,0),0)</f>
        <v>1</v>
      </c>
      <c r="I536" s="4" t="n">
        <f aca="false">IFERROR(IF(AND(VLOOKUP($B536,Ref_Acuerdos!$A:$E,2,FALSE())="PTA",$A536&gt;=VLOOKUP($B536,Ref_Acuerdos!$A:$E,3,FALSE())),1,0),0)</f>
        <v>0</v>
      </c>
      <c r="J536" s="7" t="n">
        <f aca="false">IFERROR(IF($A536&gt;=VLOOKUP($B536,Ref_Acuerdos!$A:$E,3,FALSE()),VLOOKUP($B536,Ref_Acuerdos!$A:$E,4,FALSE()),""),"")</f>
        <v>0</v>
      </c>
      <c r="K536" s="4" t="str">
        <f aca="false">IFERROR(IF($A536&gt;=VLOOKUP($B536,Ref_Acuerdos!$A:$E,3,FALSE()),VLOOKUP($B536,Ref_Acuerdos!$A:$E,5,FALSE()),"Sin FTA/PTA vigente ese año - arancel NMF"),"Sin FTA/PTA identificado - arancel NMF")</f>
        <v>UE-Ecuador Acuerdo Multipartes, vigente desde ene-2017</v>
      </c>
    </row>
    <row r="537" customFormat="false" ht="15" hidden="false" customHeight="false" outlineLevel="0" collapsed="false">
      <c r="A537" s="2" t="n">
        <v>2017</v>
      </c>
      <c r="B537" s="2" t="s">
        <v>88</v>
      </c>
      <c r="C537" s="4" t="str">
        <f aca="false">IFERROR(VLOOKUP($B537,Ref_Continente!$A:$B,2,FALSE()),"Sin clasificar")</f>
        <v>South America</v>
      </c>
      <c r="D537" s="5" t="n">
        <v>99517</v>
      </c>
      <c r="E537" s="6" t="n">
        <v>48575.6</v>
      </c>
      <c r="F537" s="6" t="n">
        <v>1320</v>
      </c>
      <c r="G537" s="5" t="n">
        <v>211007984080.91</v>
      </c>
      <c r="H537" s="4" t="n">
        <f aca="false">IFERROR(IF(AND(VLOOKUP($B537,Ref_Acuerdos!$A:$E,2,FALSE())="FTA",$A537&gt;=VLOOKUP($B537,Ref_Acuerdos!$A:$E,3,FALSE())),1,0),0)</f>
        <v>0</v>
      </c>
      <c r="I537" s="4" t="n">
        <f aca="false">IFERROR(IF(AND(VLOOKUP($B537,Ref_Acuerdos!$A:$E,2,FALSE())="PTA",$A537&gt;=VLOOKUP($B537,Ref_Acuerdos!$A:$E,3,FALSE())),1,0),0)</f>
        <v>1</v>
      </c>
      <c r="J537" s="7" t="n">
        <f aca="false">IFERROR(IF($A537&gt;=VLOOKUP($B537,Ref_Acuerdos!$A:$E,3,FALSE()),VLOOKUP($B537,Ref_Acuerdos!$A:$E,4,FALSE()),""),"")</f>
        <v>0</v>
      </c>
      <c r="K537" s="4" t="str">
        <f aca="false">IFERROR(IF($A537&gt;=VLOOKUP($B537,Ref_Acuerdos!$A:$E,3,FALSE()),VLOOKUP($B537,Ref_Acuerdos!$A:$E,5,FALSE()),"Sin FTA/PTA vigente ese año - arancel NMF"),"Sin FTA/PTA identificado - arancel NMF")</f>
        <v>Comunidad Andina (CAN) - libre comercio intracomunitario</v>
      </c>
    </row>
    <row r="538" customFormat="false" ht="15" hidden="false" customHeight="false" outlineLevel="0" collapsed="false">
      <c r="A538" s="2" t="n">
        <v>2017</v>
      </c>
      <c r="B538" s="2" t="s">
        <v>6</v>
      </c>
      <c r="C538" s="4" t="str">
        <f aca="false">IFERROR(VLOOKUP($B538,Ref_Continente!$A:$B,2,FALSE()),"Sin clasificar")</f>
        <v>South America</v>
      </c>
      <c r="D538" s="5" t="n">
        <v>82226</v>
      </c>
      <c r="E538" s="6" t="n">
        <v>21105.8</v>
      </c>
      <c r="F538" s="6" t="n">
        <v>4320</v>
      </c>
      <c r="G538" s="5" t="n">
        <v>643628393281.36</v>
      </c>
      <c r="H538" s="4" t="n">
        <f aca="false">IFERROR(IF(AND(VLOOKUP($B538,Ref_Acuerdos!$A:$E,2,FALSE())="FTA",$A538&gt;=VLOOKUP($B538,Ref_Acuerdos!$A:$E,3,FALSE())),1,0),0)</f>
        <v>0</v>
      </c>
      <c r="I538" s="4" t="n">
        <f aca="false">IFERROR(IF(AND(VLOOKUP($B538,Ref_Acuerdos!$A:$E,2,FALSE())="PTA",$A538&gt;=VLOOKUP($B538,Ref_Acuerdos!$A:$E,3,FALSE())),1,0),0)</f>
        <v>1</v>
      </c>
      <c r="J538" s="7" t="n">
        <f aca="false">IFERROR(IF($A538&gt;=VLOOKUP($B538,Ref_Acuerdos!$A:$E,3,FALSE()),VLOOKUP($B538,Ref_Acuerdos!$A:$E,4,FALSE()),""),"")</f>
        <v>5</v>
      </c>
      <c r="K538" s="4" t="str">
        <f aca="false">IFERROR(IF($A538&gt;=VLOOKUP($B538,Ref_Acuerdos!$A:$E,3,FALSE()),VLOOKUP($B538,Ref_Acuerdos!$A:$E,5,FALSE()),"Sin FTA/PTA vigente ese año - arancel NMF"),"Sin FTA/PTA identificado - arancel NMF")</f>
        <v>Ecuador-Mercosur ACE 59 - preferencias parciales (tarifa referencial)</v>
      </c>
    </row>
    <row r="539" customFormat="false" ht="15" hidden="false" customHeight="false" outlineLevel="0" collapsed="false">
      <c r="A539" s="2" t="n">
        <v>2017</v>
      </c>
      <c r="B539" s="2" t="s">
        <v>19</v>
      </c>
      <c r="C539" s="4" t="str">
        <f aca="false">IFERROR(VLOOKUP($B539,Ref_Continente!$A:$B,2,FALSE()),"Sin clasificar")</f>
        <v>Europe</v>
      </c>
      <c r="D539" s="5" t="n">
        <v>70008</v>
      </c>
      <c r="E539" s="6" t="n">
        <v>14782.7</v>
      </c>
      <c r="F539" s="6" t="n">
        <v>10600</v>
      </c>
      <c r="G539" s="5" t="n">
        <v>54725405751.16</v>
      </c>
      <c r="H539" s="4" t="n">
        <f aca="false">IFERROR(IF(AND(VLOOKUP($B539,Ref_Acuerdos!$A:$E,2,FALSE())="FTA",$A539&gt;=VLOOKUP($B539,Ref_Acuerdos!$A:$E,3,FALSE())),1,0),0)</f>
        <v>0</v>
      </c>
      <c r="I539" s="4" t="n">
        <f aca="false">IFERROR(IF(AND(VLOOKUP($B539,Ref_Acuerdos!$A:$E,2,FALSE())="PTA",$A539&gt;=VLOOKUP($B539,Ref_Acuerdos!$A:$E,3,FALSE())),1,0),0)</f>
        <v>0</v>
      </c>
      <c r="J539" s="7" t="str">
        <f aca="false">IFERROR(IF($A539&gt;=VLOOKUP($B539,Ref_Acuerdos!$A:$E,3,FALSE()),VLOOKUP($B539,Ref_Acuerdos!$A:$E,4,FALSE()),""),"")</f>
        <v/>
      </c>
      <c r="K539" s="4" t="str">
        <f aca="false">IFERROR(IF($A539&gt;=VLOOKUP($B539,Ref_Acuerdos!$A:$E,3,FALSE()),VLOOKUP($B539,Ref_Acuerdos!$A:$E,5,FALSE()),"Sin FTA/PTA vigente ese año - arancel NMF"),"Sin FTA/PTA identificado - arancel NMF")</f>
        <v>Sin FTA/PTA identificado - arancel NMF</v>
      </c>
    </row>
    <row r="540" customFormat="false" ht="15" hidden="false" customHeight="false" outlineLevel="0" collapsed="false">
      <c r="A540" s="2" t="n">
        <v>2017</v>
      </c>
      <c r="B540" s="2" t="s">
        <v>87</v>
      </c>
      <c r="C540" s="4" t="str">
        <f aca="false">IFERROR(VLOOKUP($B540,Ref_Continente!$A:$B,2,FALSE()),"Sin clasificar")</f>
        <v>South America</v>
      </c>
      <c r="D540" s="5" t="n">
        <v>64524</v>
      </c>
      <c r="E540" s="6" t="n">
        <v>15118.8</v>
      </c>
      <c r="F540" s="6" t="n">
        <v>3600</v>
      </c>
      <c r="G540" s="5" t="n">
        <v>38997129473.56</v>
      </c>
      <c r="H540" s="4" t="n">
        <f aca="false">IFERROR(IF(AND(VLOOKUP($B540,Ref_Acuerdos!$A:$E,2,FALSE())="FTA",$A540&gt;=VLOOKUP($B540,Ref_Acuerdos!$A:$E,3,FALSE())),1,0),0)</f>
        <v>0</v>
      </c>
      <c r="I540" s="4" t="n">
        <f aca="false">IFERROR(IF(AND(VLOOKUP($B540,Ref_Acuerdos!$A:$E,2,FALSE())="PTA",$A540&gt;=VLOOKUP($B540,Ref_Acuerdos!$A:$E,3,FALSE())),1,0),0)</f>
        <v>1</v>
      </c>
      <c r="J540" s="7" t="n">
        <f aca="false">IFERROR(IF($A540&gt;=VLOOKUP($B540,Ref_Acuerdos!$A:$E,3,FALSE()),VLOOKUP($B540,Ref_Acuerdos!$A:$E,4,FALSE()),""),"")</f>
        <v>5</v>
      </c>
      <c r="K540" s="4" t="str">
        <f aca="false">IFERROR(IF($A540&gt;=VLOOKUP($B540,Ref_Acuerdos!$A:$E,3,FALSE()),VLOOKUP($B540,Ref_Acuerdos!$A:$E,5,FALSE()),"Sin FTA/PTA vigente ese año - arancel NMF"),"Sin FTA/PTA identificado - arancel NMF")</f>
        <v>Ecuador-Mercosur ACE 59 - preferencias parciales (tarifa referencial)</v>
      </c>
    </row>
    <row r="541" customFormat="false" ht="15" hidden="false" customHeight="false" outlineLevel="0" collapsed="false">
      <c r="A541" s="2" t="n">
        <v>2017</v>
      </c>
      <c r="B541" s="2" t="s">
        <v>37</v>
      </c>
      <c r="C541" s="4" t="str">
        <f aca="false">IFERROR(VLOOKUP($B541,Ref_Continente!$A:$B,2,FALSE()),"Sin clasificar")</f>
        <v>North America</v>
      </c>
      <c r="D541" s="5" t="n">
        <v>62883</v>
      </c>
      <c r="E541" s="6" t="n">
        <v>17136.2</v>
      </c>
      <c r="F541" s="6" t="n">
        <v>2200</v>
      </c>
      <c r="G541" s="5" t="n">
        <v>79070274743.17</v>
      </c>
      <c r="H541" s="4" t="n">
        <f aca="false">IFERROR(IF(AND(VLOOKUP($B541,Ref_Acuerdos!$A:$E,2,FALSE())="FTA",$A541&gt;=VLOOKUP($B541,Ref_Acuerdos!$A:$E,3,FALSE())),1,0),0)</f>
        <v>0</v>
      </c>
      <c r="I541" s="4" t="n">
        <f aca="false">IFERROR(IF(AND(VLOOKUP($B541,Ref_Acuerdos!$A:$E,2,FALSE())="PTA",$A541&gt;=VLOOKUP($B541,Ref_Acuerdos!$A:$E,3,FALSE())),1,0),0)</f>
        <v>0</v>
      </c>
      <c r="J541" s="7" t="str">
        <f aca="false">IFERROR(IF($A541&gt;=VLOOKUP($B541,Ref_Acuerdos!$A:$E,3,FALSE()),VLOOKUP($B541,Ref_Acuerdos!$A:$E,4,FALSE()),""),"")</f>
        <v/>
      </c>
      <c r="K541" s="4" t="str">
        <f aca="false">IFERROR(IF($A541&gt;=VLOOKUP($B541,Ref_Acuerdos!$A:$E,3,FALSE()),VLOOKUP($B541,Ref_Acuerdos!$A:$E,5,FALSE()),"Sin FTA/PTA vigente ese año - arancel NMF"),"Sin FTA/PTA identificado - arancel NMF")</f>
        <v>Sin FTA/PTA identificado - arancel NMF</v>
      </c>
    </row>
    <row r="542" customFormat="false" ht="15" hidden="false" customHeight="false" outlineLevel="0" collapsed="false">
      <c r="A542" s="2" t="n">
        <v>2017</v>
      </c>
      <c r="B542" s="2" t="s">
        <v>25</v>
      </c>
      <c r="C542" s="4" t="str">
        <f aca="false">IFERROR(VLOOKUP($B542,Ref_Continente!$A:$B,2,FALSE()),"Sin clasificar")</f>
        <v>North America</v>
      </c>
      <c r="D542" s="5" t="n">
        <v>62536</v>
      </c>
      <c r="E542" s="6" t="n">
        <v>8504.5</v>
      </c>
      <c r="F542" s="6" t="n">
        <v>5900</v>
      </c>
      <c r="G542" s="5" t="n">
        <v>1649265644244.1</v>
      </c>
      <c r="H542" s="4" t="n">
        <f aca="false">IFERROR(IF(AND(VLOOKUP($B542,Ref_Acuerdos!$A:$E,2,FALSE())="FTA",$A542&gt;=VLOOKUP($B542,Ref_Acuerdos!$A:$E,3,FALSE())),1,0),0)</f>
        <v>0</v>
      </c>
      <c r="I542" s="4" t="n">
        <f aca="false">IFERROR(IF(AND(VLOOKUP($B542,Ref_Acuerdos!$A:$E,2,FALSE())="PTA",$A542&gt;=VLOOKUP($B542,Ref_Acuerdos!$A:$E,3,FALSE())),1,0),0)</f>
        <v>0</v>
      </c>
      <c r="J542" s="7" t="str">
        <f aca="false">IFERROR(IF($A542&gt;=VLOOKUP($B542,Ref_Acuerdos!$A:$E,3,FALSE()),VLOOKUP($B542,Ref_Acuerdos!$A:$E,4,FALSE()),""),"")</f>
        <v/>
      </c>
      <c r="K542" s="4" t="str">
        <f aca="false">IFERROR(IF($A542&gt;=VLOOKUP($B542,Ref_Acuerdos!$A:$E,3,FALSE()),VLOOKUP($B542,Ref_Acuerdos!$A:$E,5,FALSE()),"Sin FTA/PTA vigente ese año - arancel NMF"),"Sin FTA/PTA identificado - arancel NMF")</f>
        <v>Sin FTA/PTA identificado - arancel NMF</v>
      </c>
    </row>
    <row r="543" customFormat="false" ht="15" hidden="false" customHeight="false" outlineLevel="0" collapsed="false">
      <c r="A543" s="2" t="n">
        <v>2017</v>
      </c>
      <c r="B543" s="2" t="s">
        <v>80</v>
      </c>
      <c r="C543" s="4" t="str">
        <f aca="false">IFERROR(VLOOKUP($B543,Ref_Continente!$A:$B,2,FALSE()),"Sin clasificar")</f>
        <v>North America</v>
      </c>
      <c r="D543" s="5" t="n">
        <v>62381</v>
      </c>
      <c r="E543" s="6" t="n">
        <v>10050.6</v>
      </c>
      <c r="F543" s="6" t="n">
        <v>1730</v>
      </c>
      <c r="G543" s="5" t="n">
        <v>13785893007.48</v>
      </c>
      <c r="H543" s="4" t="n">
        <f aca="false">IFERROR(IF(AND(VLOOKUP($B543,Ref_Acuerdos!$A:$E,2,FALSE())="FTA",$A543&gt;=VLOOKUP($B543,Ref_Acuerdos!$A:$E,3,FALSE())),1,0),0)</f>
        <v>0</v>
      </c>
      <c r="I543" s="4" t="n">
        <f aca="false">IFERROR(IF(AND(VLOOKUP($B543,Ref_Acuerdos!$A:$E,2,FALSE())="PTA",$A543&gt;=VLOOKUP($B543,Ref_Acuerdos!$A:$E,3,FALSE())),1,0),0)</f>
        <v>1</v>
      </c>
      <c r="J543" s="7" t="n">
        <f aca="false">IFERROR(IF($A543&gt;=VLOOKUP($B543,Ref_Acuerdos!$A:$E,3,FALSE()),VLOOKUP($B543,Ref_Acuerdos!$A:$E,4,FALSE()),""),"")</f>
        <v>10</v>
      </c>
      <c r="K543" s="4" t="str">
        <f aca="false">IFERROR(IF($A543&gt;=VLOOKUP($B543,Ref_Acuerdos!$A:$E,3,FALSE()),VLOOKUP($B543,Ref_Acuerdos!$A:$E,5,FALSE()),"Sin FTA/PTA vigente ese año - arancel NMF"),"Sin FTA/PTA identificado - arancel NMF")</f>
        <v>ALADI - Acuerdo de Alcance Parcial (preferencia limitada, tarifa referencial)</v>
      </c>
    </row>
    <row r="544" customFormat="false" ht="15" hidden="false" customHeight="false" outlineLevel="0" collapsed="false">
      <c r="A544" s="2" t="n">
        <v>2017</v>
      </c>
      <c r="B544" s="2" t="s">
        <v>32</v>
      </c>
      <c r="C544" s="4" t="str">
        <f aca="false">IFERROR(VLOOKUP($B544,Ref_Continente!$A:$B,2,FALSE()),"Sin clasificar")</f>
        <v>North America</v>
      </c>
      <c r="D544" s="5" t="n">
        <v>40753</v>
      </c>
      <c r="E544" s="6" t="n">
        <v>8159.2</v>
      </c>
      <c r="F544" s="6" t="n">
        <v>2450</v>
      </c>
      <c r="G544" s="5" t="n">
        <v>96850649700</v>
      </c>
      <c r="H544" s="4" t="n">
        <f aca="false">IFERROR(IF(AND(VLOOKUP($B544,Ref_Acuerdos!$A:$E,2,FALSE())="FTA",$A544&gt;=VLOOKUP($B544,Ref_Acuerdos!$A:$E,3,FALSE())),1,0),0)</f>
        <v>0</v>
      </c>
      <c r="I544" s="4" t="n">
        <f aca="false">IFERROR(IF(AND(VLOOKUP($B544,Ref_Acuerdos!$A:$E,2,FALSE())="PTA",$A544&gt;=VLOOKUP($B544,Ref_Acuerdos!$A:$E,3,FALSE())),1,0),0)</f>
        <v>1</v>
      </c>
      <c r="J544" s="7" t="n">
        <f aca="false">IFERROR(IF($A544&gt;=VLOOKUP($B544,Ref_Acuerdos!$A:$E,3,FALSE()),VLOOKUP($B544,Ref_Acuerdos!$A:$E,4,FALSE()),""),"")</f>
        <v>10</v>
      </c>
      <c r="K544" s="4" t="str">
        <f aca="false">IFERROR(IF($A544&gt;=VLOOKUP($B544,Ref_Acuerdos!$A:$E,3,FALSE()),VLOOKUP($B544,Ref_Acuerdos!$A:$E,5,FALSE()),"Sin FTA/PTA vigente ese año - arancel NMF"),"Sin FTA/PTA identificado - arancel NMF")</f>
        <v>ALADI - Acuerdo de Alcance Parcial (preferencia limitada, tarifa referencial)</v>
      </c>
    </row>
    <row r="545" customFormat="false" ht="15" hidden="false" customHeight="false" outlineLevel="0" collapsed="false">
      <c r="A545" s="2" t="n">
        <v>2017</v>
      </c>
      <c r="B545" s="2" t="s">
        <v>86</v>
      </c>
      <c r="C545" s="4" t="str">
        <f aca="false">IFERROR(VLOOKUP($B545,Ref_Continente!$A:$B,2,FALSE()),"Sin clasificar")</f>
        <v>North America</v>
      </c>
      <c r="D545" s="5" t="n">
        <v>32494</v>
      </c>
      <c r="E545" s="6" t="n">
        <v>8425.9</v>
      </c>
      <c r="F545" s="6" t="n">
        <v>1020</v>
      </c>
      <c r="G545" s="5" t="n">
        <v>64327688826.31</v>
      </c>
      <c r="H545" s="4" t="n">
        <f aca="false">IFERROR(IF(AND(VLOOKUP($B545,Ref_Acuerdos!$A:$E,2,FALSE())="FTA",$A545&gt;=VLOOKUP($B545,Ref_Acuerdos!$A:$E,3,FALSE())),1,0),0)</f>
        <v>0</v>
      </c>
      <c r="I545" s="4" t="n">
        <f aca="false">IFERROR(IF(AND(VLOOKUP($B545,Ref_Acuerdos!$A:$E,2,FALSE())="PTA",$A545&gt;=VLOOKUP($B545,Ref_Acuerdos!$A:$E,3,FALSE())),1,0),0)</f>
        <v>1</v>
      </c>
      <c r="J545" s="7" t="n">
        <f aca="false">IFERROR(IF($A545&gt;=VLOOKUP($B545,Ref_Acuerdos!$A:$E,3,FALSE()),VLOOKUP($B545,Ref_Acuerdos!$A:$E,4,FALSE()),""),"")</f>
        <v>10</v>
      </c>
      <c r="K545" s="4" t="str">
        <f aca="false">IFERROR(IF($A545&gt;=VLOOKUP($B545,Ref_Acuerdos!$A:$E,3,FALSE()),VLOOKUP($B545,Ref_Acuerdos!$A:$E,5,FALSE()),"Sin FTA/PTA vigente ese año - arancel NMF"),"Sin FTA/PTA identificado - arancel NMF")</f>
        <v>ALADI - Acuerdo de Alcance Parcial (preferencia limitada, tarifa referencial)</v>
      </c>
    </row>
    <row r="546" customFormat="false" ht="15" hidden="false" customHeight="false" outlineLevel="0" collapsed="false">
      <c r="A546" s="2" t="n">
        <v>2017</v>
      </c>
      <c r="B546" s="2" t="s">
        <v>103</v>
      </c>
      <c r="C546" s="4" t="str">
        <f aca="false">IFERROR(VLOOKUP($B546,Ref_Continente!$A:$B,2,FALSE()),"Sin clasificar")</f>
        <v>Europe</v>
      </c>
      <c r="D546" s="5" t="n">
        <v>25464</v>
      </c>
      <c r="E546" s="6" t="n">
        <v>5849.7</v>
      </c>
      <c r="F546" s="6" t="n">
        <v>10500</v>
      </c>
      <c r="G546" s="5"/>
      <c r="H546" s="4" t="n">
        <f aca="false">IFERROR(IF(AND(VLOOKUP($B546,Ref_Acuerdos!$A:$E,2,FALSE())="FTA",$A546&gt;=VLOOKUP($B546,Ref_Acuerdos!$A:$E,3,FALSE())),1,0),0)</f>
        <v>1</v>
      </c>
      <c r="I546" s="4" t="n">
        <f aca="false">IFERROR(IF(AND(VLOOKUP($B546,Ref_Acuerdos!$A:$E,2,FALSE())="PTA",$A546&gt;=VLOOKUP($B546,Ref_Acuerdos!$A:$E,3,FALSE())),1,0),0)</f>
        <v>0</v>
      </c>
      <c r="J546" s="7" t="n">
        <f aca="false">IFERROR(IF($A546&gt;=VLOOKUP($B546,Ref_Acuerdos!$A:$E,3,FALSE()),VLOOKUP($B546,Ref_Acuerdos!$A:$E,4,FALSE()),""),"")</f>
        <v>0</v>
      </c>
      <c r="K546" s="4" t="str">
        <f aca="false">IFERROR(IF($A546&gt;=VLOOKUP($B546,Ref_Acuerdos!$A:$E,3,FALSE()),VLOOKUP($B546,Ref_Acuerdos!$A:$E,5,FALSE()),"Sin FTA/PTA vigente ese año - arancel NMF"),"Sin FTA/PTA identificado - arancel NMF")</f>
        <v>UE-Ecuador Acuerdo Multipartes, vigente desde ene-2017</v>
      </c>
    </row>
    <row r="547" customFormat="false" ht="15" hidden="false" customHeight="false" outlineLevel="0" collapsed="false">
      <c r="A547" s="2" t="n">
        <v>2017</v>
      </c>
      <c r="B547" s="2" t="s">
        <v>94</v>
      </c>
      <c r="C547" s="4" t="str">
        <f aca="false">IFERROR(VLOOKUP($B547,Ref_Continente!$A:$B,2,FALSE()),"Sin clasificar")</f>
        <v>Europe</v>
      </c>
      <c r="D547" s="5" t="n">
        <v>24962</v>
      </c>
      <c r="E547" s="6" t="n">
        <v>5789.5</v>
      </c>
      <c r="F547" s="6" t="n">
        <v>11000</v>
      </c>
      <c r="G547" s="5" t="n">
        <v>9514404016.21</v>
      </c>
      <c r="H547" s="4" t="n">
        <f aca="false">IFERROR(IF(AND(VLOOKUP($B547,Ref_Acuerdos!$A:$E,2,FALSE())="FTA",$A547&gt;=VLOOKUP($B547,Ref_Acuerdos!$A:$E,3,FALSE())),1,0),0)</f>
        <v>0</v>
      </c>
      <c r="I547" s="4" t="n">
        <f aca="false">IFERROR(IF(AND(VLOOKUP($B547,Ref_Acuerdos!$A:$E,2,FALSE())="PTA",$A547&gt;=VLOOKUP($B547,Ref_Acuerdos!$A:$E,3,FALSE())),1,0),0)</f>
        <v>0</v>
      </c>
      <c r="J547" s="7" t="str">
        <f aca="false">IFERROR(IF($A547&gt;=VLOOKUP($B547,Ref_Acuerdos!$A:$E,3,FALSE()),VLOOKUP($B547,Ref_Acuerdos!$A:$E,4,FALSE()),""),"")</f>
        <v/>
      </c>
      <c r="K547" s="4" t="str">
        <f aca="false">IFERROR(IF($A547&gt;=VLOOKUP($B547,Ref_Acuerdos!$A:$E,3,FALSE()),VLOOKUP($B547,Ref_Acuerdos!$A:$E,5,FALSE()),"Sin FTA/PTA vigente ese año - arancel NMF"),"Sin FTA/PTA identificado - arancel NMF")</f>
        <v>Sin FTA/PTA identificado - arancel NMF</v>
      </c>
    </row>
    <row r="548" customFormat="false" ht="15" hidden="false" customHeight="false" outlineLevel="0" collapsed="false">
      <c r="A548" s="2" t="n">
        <v>2017</v>
      </c>
      <c r="B548" s="2" t="s">
        <v>35</v>
      </c>
      <c r="C548" s="4" t="str">
        <f aca="false">IFERROR(VLOOKUP($B548,Ref_Continente!$A:$B,2,FALSE()),"Sin clasificar")</f>
        <v>Europe</v>
      </c>
      <c r="D548" s="5" t="n">
        <v>20109</v>
      </c>
      <c r="E548" s="6" t="n">
        <v>4276.5</v>
      </c>
      <c r="F548" s="6" t="n">
        <v>10100</v>
      </c>
      <c r="G548" s="5" t="n">
        <v>221563575696.22</v>
      </c>
      <c r="H548" s="4" t="n">
        <f aca="false">IFERROR(IF(AND(VLOOKUP($B548,Ref_Acuerdos!$A:$E,2,FALSE())="FTA",$A548&gt;=VLOOKUP($B548,Ref_Acuerdos!$A:$E,3,FALSE())),1,0),0)</f>
        <v>1</v>
      </c>
      <c r="I548" s="4" t="n">
        <f aca="false">IFERROR(IF(AND(VLOOKUP($B548,Ref_Acuerdos!$A:$E,2,FALSE())="PTA",$A548&gt;=VLOOKUP($B548,Ref_Acuerdos!$A:$E,3,FALSE())),1,0),0)</f>
        <v>0</v>
      </c>
      <c r="J548" s="7" t="n">
        <f aca="false">IFERROR(IF($A548&gt;=VLOOKUP($B548,Ref_Acuerdos!$A:$E,3,FALSE()),VLOOKUP($B548,Ref_Acuerdos!$A:$E,4,FALSE()),""),"")</f>
        <v>0</v>
      </c>
      <c r="K548" s="4" t="str">
        <f aca="false">IFERROR(IF($A548&gt;=VLOOKUP($B548,Ref_Acuerdos!$A:$E,3,FALSE()),VLOOKUP($B548,Ref_Acuerdos!$A:$E,5,FALSE()),"Sin FTA/PTA vigente ese año - arancel NMF"),"Sin FTA/PTA identificado - arancel NMF")</f>
        <v>UE-Ecuador Acuerdo Multipartes, vigente desde ene-2017</v>
      </c>
    </row>
    <row r="549" customFormat="false" ht="15" hidden="false" customHeight="false" outlineLevel="0" collapsed="false">
      <c r="A549" s="2" t="n">
        <v>2017</v>
      </c>
      <c r="B549" s="2" t="s">
        <v>40</v>
      </c>
      <c r="C549" s="4" t="str">
        <f aca="false">IFERROR(VLOOKUP($B549,Ref_Continente!$A:$B,2,FALSE()),"Sin clasificar")</f>
        <v>Europe</v>
      </c>
      <c r="D549" s="5" t="n">
        <v>19836</v>
      </c>
      <c r="E549" s="6" t="n">
        <v>4109.1</v>
      </c>
      <c r="F549" s="6" t="n">
        <v>10400</v>
      </c>
      <c r="G549" s="5" t="n">
        <v>27469461919.12</v>
      </c>
      <c r="H549" s="4" t="n">
        <f aca="false">IFERROR(IF(AND(VLOOKUP($B549,Ref_Acuerdos!$A:$E,2,FALSE())="FTA",$A549&gt;=VLOOKUP($B549,Ref_Acuerdos!$A:$E,3,FALSE())),1,0),0)</f>
        <v>1</v>
      </c>
      <c r="I549" s="4" t="n">
        <f aca="false">IFERROR(IF(AND(VLOOKUP($B549,Ref_Acuerdos!$A:$E,2,FALSE())="PTA",$A549&gt;=VLOOKUP($B549,Ref_Acuerdos!$A:$E,3,FALSE())),1,0),0)</f>
        <v>0</v>
      </c>
      <c r="J549" s="7" t="n">
        <f aca="false">IFERROR(IF($A549&gt;=VLOOKUP($B549,Ref_Acuerdos!$A:$E,3,FALSE()),VLOOKUP($B549,Ref_Acuerdos!$A:$E,4,FALSE()),""),"")</f>
        <v>0</v>
      </c>
      <c r="K549" s="4" t="str">
        <f aca="false">IFERROR(IF($A549&gt;=VLOOKUP($B549,Ref_Acuerdos!$A:$E,3,FALSE()),VLOOKUP($B549,Ref_Acuerdos!$A:$E,5,FALSE()),"Sin FTA/PTA vigente ese año - arancel NMF"),"Sin FTA/PTA identificado - arancel NMF")</f>
        <v>UE-Ecuador Acuerdo Multipartes, vigente desde ene-2017</v>
      </c>
    </row>
    <row r="550" customFormat="false" ht="15" hidden="false" customHeight="false" outlineLevel="0" collapsed="false">
      <c r="A550" s="2" t="n">
        <v>2017</v>
      </c>
      <c r="B550" s="2" t="s">
        <v>42</v>
      </c>
      <c r="C550" s="4" t="str">
        <f aca="false">IFERROR(VLOOKUP($B550,Ref_Continente!$A:$B,2,FALSE()),"Sin clasificar")</f>
        <v>Europe</v>
      </c>
      <c r="D550" s="5" t="n">
        <v>19621</v>
      </c>
      <c r="E550" s="6" t="n">
        <v>3929</v>
      </c>
      <c r="F550" s="6" t="n">
        <v>9150</v>
      </c>
      <c r="G550" s="5" t="n">
        <v>2588868323334.71</v>
      </c>
      <c r="H550" s="4" t="n">
        <f aca="false">IFERROR(IF(AND(VLOOKUP($B550,Ref_Acuerdos!$A:$E,2,FALSE())="FTA",$A550&gt;=VLOOKUP($B550,Ref_Acuerdos!$A:$E,3,FALSE())),1,0),0)</f>
        <v>1</v>
      </c>
      <c r="I550" s="4" t="n">
        <f aca="false">IFERROR(IF(AND(VLOOKUP($B550,Ref_Acuerdos!$A:$E,2,FALSE())="PTA",$A550&gt;=VLOOKUP($B550,Ref_Acuerdos!$A:$E,3,FALSE())),1,0),0)</f>
        <v>0</v>
      </c>
      <c r="J550" s="7" t="n">
        <f aca="false">IFERROR(IF($A550&gt;=VLOOKUP($B550,Ref_Acuerdos!$A:$E,3,FALSE()),VLOOKUP($B550,Ref_Acuerdos!$A:$E,4,FALSE()),""),"")</f>
        <v>0</v>
      </c>
      <c r="K550" s="4" t="str">
        <f aca="false">IFERROR(IF($A550&gt;=VLOOKUP($B550,Ref_Acuerdos!$A:$E,3,FALSE()),VLOOKUP($B550,Ref_Acuerdos!$A:$E,5,FALSE()),"Sin FTA/PTA vigente ese año - arancel NMF"),"Sin FTA/PTA identificado - arancel NMF")</f>
        <v>UE-Ecuador Acuerdo Multipartes, vigente desde ene-2017</v>
      </c>
    </row>
    <row r="551" customFormat="false" ht="15" hidden="false" customHeight="false" outlineLevel="0" collapsed="false">
      <c r="A551" s="2" t="n">
        <v>2017</v>
      </c>
      <c r="B551" s="2" t="s">
        <v>92</v>
      </c>
      <c r="C551" s="4" t="str">
        <f aca="false">IFERROR(VLOOKUP($B551,Ref_Continente!$A:$B,2,FALSE()),"Sin clasificar")</f>
        <v>Asia</v>
      </c>
      <c r="D551" s="5" t="n">
        <v>17689</v>
      </c>
      <c r="E551" s="6" t="n">
        <v>4562.5</v>
      </c>
      <c r="F551" s="6" t="n">
        <v>14000</v>
      </c>
      <c r="G551" s="5" t="n">
        <v>161099175824.18</v>
      </c>
      <c r="H551" s="4" t="n">
        <f aca="false">IFERROR(IF(AND(VLOOKUP($B551,Ref_Acuerdos!$A:$E,2,FALSE())="FTA",$A551&gt;=VLOOKUP($B551,Ref_Acuerdos!$A:$E,3,FALSE())),1,0),0)</f>
        <v>0</v>
      </c>
      <c r="I551" s="4" t="n">
        <f aca="false">IFERROR(IF(AND(VLOOKUP($B551,Ref_Acuerdos!$A:$E,2,FALSE())="PTA",$A551&gt;=VLOOKUP($B551,Ref_Acuerdos!$A:$E,3,FALSE())),1,0),0)</f>
        <v>0</v>
      </c>
      <c r="J551" s="7" t="str">
        <f aca="false">IFERROR(IF($A551&gt;=VLOOKUP($B551,Ref_Acuerdos!$A:$E,3,FALSE()),VLOOKUP($B551,Ref_Acuerdos!$A:$E,4,FALSE()),""),"")</f>
        <v/>
      </c>
      <c r="K551" s="4" t="str">
        <f aca="false">IFERROR(IF($A551&gt;=VLOOKUP($B551,Ref_Acuerdos!$A:$E,3,FALSE()),VLOOKUP($B551,Ref_Acuerdos!$A:$E,5,FALSE()),"Sin FTA/PTA vigente ese año - arancel NMF"),"Sin FTA/PTA identificado - arancel NMF")</f>
        <v>Sin FTA/PTA identificado - arancel NMF</v>
      </c>
    </row>
    <row r="552" customFormat="false" ht="15" hidden="false" customHeight="false" outlineLevel="0" collapsed="false">
      <c r="A552" s="2" t="n">
        <v>2017</v>
      </c>
      <c r="B552" s="2" t="s">
        <v>64</v>
      </c>
      <c r="C552" s="4" t="str">
        <f aca="false">IFERROR(VLOOKUP($B552,Ref_Continente!$A:$B,2,FALSE()),"Sin clasificar")</f>
        <v>Asia</v>
      </c>
      <c r="D552" s="5" t="n">
        <v>17623</v>
      </c>
      <c r="E552" s="6" t="n">
        <v>2035.7</v>
      </c>
      <c r="F552" s="6" t="n">
        <v>13500</v>
      </c>
      <c r="G552" s="5" t="n">
        <v>120687539805.51</v>
      </c>
      <c r="H552" s="4" t="n">
        <f aca="false">IFERROR(IF(AND(VLOOKUP($B552,Ref_Acuerdos!$A:$E,2,FALSE())="FTA",$A552&gt;=VLOOKUP($B552,Ref_Acuerdos!$A:$E,3,FALSE())),1,0),0)</f>
        <v>0</v>
      </c>
      <c r="I552" s="4" t="n">
        <f aca="false">IFERROR(IF(AND(VLOOKUP($B552,Ref_Acuerdos!$A:$E,2,FALSE())="PTA",$A552&gt;=VLOOKUP($B552,Ref_Acuerdos!$A:$E,3,FALSE())),1,0),0)</f>
        <v>0</v>
      </c>
      <c r="J552" s="7" t="str">
        <f aca="false">IFERROR(IF($A552&gt;=VLOOKUP($B552,Ref_Acuerdos!$A:$E,3,FALSE()),VLOOKUP($B552,Ref_Acuerdos!$A:$E,4,FALSE()),""),"")</f>
        <v/>
      </c>
      <c r="K552" s="4" t="str">
        <f aca="false">IFERROR(IF($A552&gt;=VLOOKUP($B552,Ref_Acuerdos!$A:$E,3,FALSE()),VLOOKUP($B552,Ref_Acuerdos!$A:$E,5,FALSE()),"Sin FTA/PTA vigente ese año - arancel NMF"),"Sin FTA/PTA identificado - arancel NMF")</f>
        <v>Sin FTA/PTA identificado - arancel NMF</v>
      </c>
    </row>
    <row r="553" customFormat="false" ht="15" hidden="false" customHeight="false" outlineLevel="0" collapsed="false">
      <c r="A553" s="2" t="n">
        <v>2017</v>
      </c>
      <c r="B553" s="2" t="s">
        <v>45</v>
      </c>
      <c r="C553" s="4" t="str">
        <f aca="false">IFERROR(VLOOKUP($B553,Ref_Continente!$A:$B,2,FALSE()),"Sin clasificar")</f>
        <v>Europe</v>
      </c>
      <c r="D553" s="5" t="n">
        <v>15441</v>
      </c>
      <c r="E553" s="6" t="n">
        <v>3555.5</v>
      </c>
      <c r="F553" s="6" t="n">
        <v>9650</v>
      </c>
      <c r="G553" s="5" t="n">
        <v>3765351626105.89</v>
      </c>
      <c r="H553" s="4" t="n">
        <f aca="false">IFERROR(IF(AND(VLOOKUP($B553,Ref_Acuerdos!$A:$E,2,FALSE())="FTA",$A553&gt;=VLOOKUP($B553,Ref_Acuerdos!$A:$E,3,FALSE())),1,0),0)</f>
        <v>1</v>
      </c>
      <c r="I553" s="4" t="n">
        <f aca="false">IFERROR(IF(AND(VLOOKUP($B553,Ref_Acuerdos!$A:$E,2,FALSE())="PTA",$A553&gt;=VLOOKUP($B553,Ref_Acuerdos!$A:$E,3,FALSE())),1,0),0)</f>
        <v>0</v>
      </c>
      <c r="J553" s="7" t="n">
        <f aca="false">IFERROR(IF($A553&gt;=VLOOKUP($B553,Ref_Acuerdos!$A:$E,3,FALSE()),VLOOKUP($B553,Ref_Acuerdos!$A:$E,4,FALSE()),""),"")</f>
        <v>0</v>
      </c>
      <c r="K553" s="4" t="str">
        <f aca="false">IFERROR(IF($A553&gt;=VLOOKUP($B553,Ref_Acuerdos!$A:$E,3,FALSE()),VLOOKUP($B553,Ref_Acuerdos!$A:$E,5,FALSE()),"Sin FTA/PTA vigente ese año - arancel NMF"),"Sin FTA/PTA identificado - arancel NMF")</f>
        <v>UE-Ecuador Acuerdo Multipartes, vigente desde ene-2017</v>
      </c>
    </row>
    <row r="554" customFormat="false" ht="15" hidden="false" customHeight="false" outlineLevel="0" collapsed="false">
      <c r="A554" s="2" t="n">
        <v>2017</v>
      </c>
      <c r="B554" s="2" t="s">
        <v>101</v>
      </c>
      <c r="C554" s="4" t="str">
        <f aca="false">IFERROR(VLOOKUP($B554,Ref_Continente!$A:$B,2,FALSE()),"Sin clasificar")</f>
        <v>Europe</v>
      </c>
      <c r="D554" s="5" t="n">
        <v>14435</v>
      </c>
      <c r="E554" s="6" t="n">
        <v>3589.7</v>
      </c>
      <c r="F554" s="6" t="n">
        <v>11000</v>
      </c>
      <c r="G554" s="5" t="n">
        <v>45972834713.81</v>
      </c>
      <c r="H554" s="4" t="n">
        <f aca="false">IFERROR(IF(AND(VLOOKUP($B554,Ref_Acuerdos!$A:$E,2,FALSE())="FTA",$A554&gt;=VLOOKUP($B554,Ref_Acuerdos!$A:$E,3,FALSE())),1,0),0)</f>
        <v>0</v>
      </c>
      <c r="I554" s="4" t="n">
        <f aca="false">IFERROR(IF(AND(VLOOKUP($B554,Ref_Acuerdos!$A:$E,2,FALSE())="PTA",$A554&gt;=VLOOKUP($B554,Ref_Acuerdos!$A:$E,3,FALSE())),1,0),0)</f>
        <v>0</v>
      </c>
      <c r="J554" s="7" t="str">
        <f aca="false">IFERROR(IF($A554&gt;=VLOOKUP($B554,Ref_Acuerdos!$A:$E,3,FALSE()),VLOOKUP($B554,Ref_Acuerdos!$A:$E,4,FALSE()),""),"")</f>
        <v/>
      </c>
      <c r="K554" s="4" t="str">
        <f aca="false">IFERROR(IF($A554&gt;=VLOOKUP($B554,Ref_Acuerdos!$A:$E,3,FALSE()),VLOOKUP($B554,Ref_Acuerdos!$A:$E,5,FALSE()),"Sin FTA/PTA vigente ese año - arancel NMF"),"Sin FTA/PTA identificado - arancel NMF")</f>
        <v>Sin FTA/PTA identificado - arancel NMF</v>
      </c>
    </row>
    <row r="555" customFormat="false" ht="15" hidden="false" customHeight="false" outlineLevel="0" collapsed="false">
      <c r="A555" s="2" t="n">
        <v>2017</v>
      </c>
      <c r="B555" s="2" t="s">
        <v>116</v>
      </c>
      <c r="C555" s="4" t="str">
        <f aca="false">IFERROR(VLOOKUP($B555,Ref_Continente!$A:$B,2,FALSE()),"Sin clasificar")</f>
        <v>Asia</v>
      </c>
      <c r="D555" s="5" t="n">
        <v>13225</v>
      </c>
      <c r="E555" s="6" t="n">
        <v>1788.5</v>
      </c>
      <c r="F555" s="6" t="n">
        <v>14200</v>
      </c>
      <c r="G555" s="5" t="n">
        <v>403365010211.03</v>
      </c>
      <c r="H555" s="4" t="n">
        <f aca="false">IFERROR(IF(AND(VLOOKUP($B555,Ref_Acuerdos!$A:$E,2,FALSE())="FTA",$A555&gt;=VLOOKUP($B555,Ref_Acuerdos!$A:$E,3,FALSE())),1,0),0)</f>
        <v>0</v>
      </c>
      <c r="I555" s="4" t="n">
        <f aca="false">IFERROR(IF(AND(VLOOKUP($B555,Ref_Acuerdos!$A:$E,2,FALSE())="PTA",$A555&gt;=VLOOKUP($B555,Ref_Acuerdos!$A:$E,3,FALSE())),1,0),0)</f>
        <v>0</v>
      </c>
      <c r="J555" s="7" t="str">
        <f aca="false">IFERROR(IF($A555&gt;=VLOOKUP($B555,Ref_Acuerdos!$A:$E,3,FALSE()),VLOOKUP($B555,Ref_Acuerdos!$A:$E,4,FALSE()),""),"")</f>
        <v/>
      </c>
      <c r="K555" s="4" t="str">
        <f aca="false">IFERROR(IF($A555&gt;=VLOOKUP($B555,Ref_Acuerdos!$A:$E,3,FALSE()),VLOOKUP($B555,Ref_Acuerdos!$A:$E,5,FALSE()),"Sin FTA/PTA vigente ese año - arancel NMF"),"Sin FTA/PTA identificado - arancel NMF")</f>
        <v>Sin FTA/PTA identificado - arancel NMF</v>
      </c>
    </row>
    <row r="556" customFormat="false" ht="15" hidden="false" customHeight="false" outlineLevel="0" collapsed="false">
      <c r="A556" s="2" t="n">
        <v>2017</v>
      </c>
      <c r="B556" s="2" t="s">
        <v>111</v>
      </c>
      <c r="C556" s="4" t="str">
        <f aca="false">IFERROR(VLOOKUP($B556,Ref_Continente!$A:$B,2,FALSE()),"Sin clasificar")</f>
        <v>North America</v>
      </c>
      <c r="D556" s="5" t="n">
        <v>9540</v>
      </c>
      <c r="E556" s="6" t="n">
        <v>1710.4</v>
      </c>
      <c r="F556" s="6" t="n">
        <v>2530</v>
      </c>
      <c r="G556" s="5" t="n">
        <v>23830750900.69</v>
      </c>
      <c r="H556" s="4" t="n">
        <f aca="false">IFERROR(IF(AND(VLOOKUP($B556,Ref_Acuerdos!$A:$E,2,FALSE())="FTA",$A556&gt;=VLOOKUP($B556,Ref_Acuerdos!$A:$E,3,FALSE())),1,0),0)</f>
        <v>0</v>
      </c>
      <c r="I556" s="4" t="n">
        <f aca="false">IFERROR(IF(AND(VLOOKUP($B556,Ref_Acuerdos!$A:$E,2,FALSE())="PTA",$A556&gt;=VLOOKUP($B556,Ref_Acuerdos!$A:$E,3,FALSE())),1,0),0)</f>
        <v>0</v>
      </c>
      <c r="J556" s="7" t="str">
        <f aca="false">IFERROR(IF($A556&gt;=VLOOKUP($B556,Ref_Acuerdos!$A:$E,3,FALSE()),VLOOKUP($B556,Ref_Acuerdos!$A:$E,4,FALSE()),""),"")</f>
        <v/>
      </c>
      <c r="K556" s="4" t="str">
        <f aca="false">IFERROR(IF($A556&gt;=VLOOKUP($B556,Ref_Acuerdos!$A:$E,3,FALSE()),VLOOKUP($B556,Ref_Acuerdos!$A:$E,5,FALSE()),"Sin FTA/PTA vigente ese año - arancel NMF"),"Sin FTA/PTA identificado - arancel NMF")</f>
        <v>Sin FTA/PTA identificado - arancel NMF</v>
      </c>
    </row>
    <row r="557" customFormat="false" ht="15" hidden="false" customHeight="false" outlineLevel="0" collapsed="false">
      <c r="A557" s="2" t="n">
        <v>2017</v>
      </c>
      <c r="B557" s="2" t="s">
        <v>89</v>
      </c>
      <c r="C557" s="4" t="str">
        <f aca="false">IFERROR(VLOOKUP($B557,Ref_Continente!$A:$B,2,FALSE()),"Sin clasificar")</f>
        <v>Asia</v>
      </c>
      <c r="D557" s="5" t="n">
        <v>9151</v>
      </c>
      <c r="E557" s="6" t="n">
        <v>2068.8</v>
      </c>
      <c r="F557" s="6" t="n">
        <v>17800</v>
      </c>
      <c r="G557" s="5" t="n">
        <v>328480736802.76</v>
      </c>
      <c r="H557" s="4" t="n">
        <f aca="false">IFERROR(IF(AND(VLOOKUP($B557,Ref_Acuerdos!$A:$E,2,FALSE())="FTA",$A557&gt;=VLOOKUP($B557,Ref_Acuerdos!$A:$E,3,FALSE())),1,0),0)</f>
        <v>0</v>
      </c>
      <c r="I557" s="4" t="n">
        <f aca="false">IFERROR(IF(AND(VLOOKUP($B557,Ref_Acuerdos!$A:$E,2,FALSE())="PTA",$A557&gt;=VLOOKUP($B557,Ref_Acuerdos!$A:$E,3,FALSE())),1,0),0)</f>
        <v>0</v>
      </c>
      <c r="J557" s="7" t="str">
        <f aca="false">IFERROR(IF($A557&gt;=VLOOKUP($B557,Ref_Acuerdos!$A:$E,3,FALSE()),VLOOKUP($B557,Ref_Acuerdos!$A:$E,4,FALSE()),""),"")</f>
        <v/>
      </c>
      <c r="K557" s="4" t="str">
        <f aca="false">IFERROR(IF($A557&gt;=VLOOKUP($B557,Ref_Acuerdos!$A:$E,3,FALSE()),VLOOKUP($B557,Ref_Acuerdos!$A:$E,5,FALSE()),"Sin FTA/PTA vigente ese año - arancel NMF"),"Sin FTA/PTA identificado - arancel NMF")</f>
        <v>Sin FTA/PTA identificado - arancel NMF</v>
      </c>
    </row>
    <row r="558" customFormat="false" ht="15" hidden="false" customHeight="false" outlineLevel="0" collapsed="false">
      <c r="A558" s="2" t="n">
        <v>2017</v>
      </c>
      <c r="B558" s="2" t="s">
        <v>60</v>
      </c>
      <c r="C558" s="4" t="str">
        <f aca="false">IFERROR(VLOOKUP($B558,Ref_Continente!$A:$B,2,FALSE()),"Sin clasificar")</f>
        <v>North America</v>
      </c>
      <c r="D558" s="5" t="n">
        <v>5516</v>
      </c>
      <c r="E558" s="6" t="n">
        <v>741.5</v>
      </c>
      <c r="F558" s="6" t="n">
        <v>1900</v>
      </c>
      <c r="G558" s="5" t="n">
        <v>15783583236.68</v>
      </c>
      <c r="H558" s="4" t="n">
        <f aca="false">IFERROR(IF(AND(VLOOKUP($B558,Ref_Acuerdos!$A:$E,2,FALSE())="FTA",$A558&gt;=VLOOKUP($B558,Ref_Acuerdos!$A:$E,3,FALSE())),1,0),0)</f>
        <v>0</v>
      </c>
      <c r="I558" s="4" t="n">
        <f aca="false">IFERROR(IF(AND(VLOOKUP($B558,Ref_Acuerdos!$A:$E,2,FALSE())="PTA",$A558&gt;=VLOOKUP($B558,Ref_Acuerdos!$A:$E,3,FALSE())),1,0),0)</f>
        <v>0</v>
      </c>
      <c r="J558" s="7" t="str">
        <f aca="false">IFERROR(IF($A558&gt;=VLOOKUP($B558,Ref_Acuerdos!$A:$E,3,FALSE()),VLOOKUP($B558,Ref_Acuerdos!$A:$E,4,FALSE()),""),"")</f>
        <v/>
      </c>
      <c r="K558" s="4" t="str">
        <f aca="false">IFERROR(IF($A558&gt;=VLOOKUP($B558,Ref_Acuerdos!$A:$E,3,FALSE()),VLOOKUP($B558,Ref_Acuerdos!$A:$E,5,FALSE()),"Sin FTA/PTA vigente ese año - arancel NMF"),"Sin FTA/PTA identificado - arancel NMF")</f>
        <v>Sin FTA/PTA identificado - arancel NMF</v>
      </c>
    </row>
    <row r="559" customFormat="false" ht="15" hidden="false" customHeight="false" outlineLevel="0" collapsed="false">
      <c r="A559" s="2" t="n">
        <v>2017</v>
      </c>
      <c r="B559" s="2" t="s">
        <v>65</v>
      </c>
      <c r="C559" s="4" t="str">
        <f aca="false">IFERROR(VLOOKUP($B559,Ref_Continente!$A:$B,2,FALSE()),"Sin clasificar")</f>
        <v>Asia</v>
      </c>
      <c r="D559" s="5" t="n">
        <v>5320</v>
      </c>
      <c r="E559" s="6" t="n">
        <v>1184.2</v>
      </c>
      <c r="F559" s="6" t="n">
        <v>14300</v>
      </c>
      <c r="G559" s="5"/>
      <c r="H559" s="4" t="n">
        <f aca="false">IFERROR(IF(AND(VLOOKUP($B559,Ref_Acuerdos!$A:$E,2,FALSE())="FTA",$A559&gt;=VLOOKUP($B559,Ref_Acuerdos!$A:$E,3,FALSE())),1,0),0)</f>
        <v>0</v>
      </c>
      <c r="I559" s="4" t="n">
        <f aca="false">IFERROR(IF(AND(VLOOKUP($B559,Ref_Acuerdos!$A:$E,2,FALSE())="PTA",$A559&gt;=VLOOKUP($B559,Ref_Acuerdos!$A:$E,3,FALSE())),1,0),0)</f>
        <v>0</v>
      </c>
      <c r="J559" s="7" t="str">
        <f aca="false">IFERROR(IF($A559&gt;=VLOOKUP($B559,Ref_Acuerdos!$A:$E,3,FALSE()),VLOOKUP($B559,Ref_Acuerdos!$A:$E,4,FALSE()),""),"")</f>
        <v/>
      </c>
      <c r="K559" s="4" t="str">
        <f aca="false">IFERROR(IF($A559&gt;=VLOOKUP($B559,Ref_Acuerdos!$A:$E,3,FALSE()),VLOOKUP($B559,Ref_Acuerdos!$A:$E,5,FALSE()),"Sin FTA/PTA vigente ese año - arancel NMF"),"Sin FTA/PTA identificado - arancel NMF")</f>
        <v>Sin FTA/PTA identificado - arancel NMF</v>
      </c>
    </row>
    <row r="560" customFormat="false" ht="15" hidden="false" customHeight="false" outlineLevel="0" collapsed="false">
      <c r="A560" s="2" t="n">
        <v>2017</v>
      </c>
      <c r="B560" s="2" t="s">
        <v>71</v>
      </c>
      <c r="C560" s="4" t="str">
        <f aca="false">IFERROR(VLOOKUP($B560,Ref_Continente!$A:$B,2,FALSE()),"Sin clasificar")</f>
        <v>Asia</v>
      </c>
      <c r="D560" s="5" t="n">
        <v>4632</v>
      </c>
      <c r="E560" s="6" t="n">
        <v>750.8</v>
      </c>
      <c r="F560" s="6" t="n">
        <v>17100</v>
      </c>
      <c r="G560" s="5" t="n">
        <v>4816426256.53</v>
      </c>
      <c r="H560" s="4" t="n">
        <f aca="false">IFERROR(IF(AND(VLOOKUP($B560,Ref_Acuerdos!$A:$E,2,FALSE())="FTA",$A560&gt;=VLOOKUP($B560,Ref_Acuerdos!$A:$E,3,FALSE())),1,0),0)</f>
        <v>0</v>
      </c>
      <c r="I560" s="4" t="n">
        <f aca="false">IFERROR(IF(AND(VLOOKUP($B560,Ref_Acuerdos!$A:$E,2,FALSE())="PTA",$A560&gt;=VLOOKUP($B560,Ref_Acuerdos!$A:$E,3,FALSE())),1,0),0)</f>
        <v>0</v>
      </c>
      <c r="J560" s="7" t="str">
        <f aca="false">IFERROR(IF($A560&gt;=VLOOKUP($B560,Ref_Acuerdos!$A:$E,3,FALSE()),VLOOKUP($B560,Ref_Acuerdos!$A:$E,4,FALSE()),""),"")</f>
        <v/>
      </c>
      <c r="K560" s="4" t="str">
        <f aca="false">IFERROR(IF($A560&gt;=VLOOKUP($B560,Ref_Acuerdos!$A:$E,3,FALSE()),VLOOKUP($B560,Ref_Acuerdos!$A:$E,5,FALSE()),"Sin FTA/PTA vigente ese año - arancel NMF"),"Sin FTA/PTA identificado - arancel NMF")</f>
        <v>Sin FTA/PTA identificado - arancel NMF</v>
      </c>
    </row>
    <row r="561" customFormat="false" ht="15" hidden="false" customHeight="false" outlineLevel="0" collapsed="false">
      <c r="A561" s="2" t="n">
        <v>2017</v>
      </c>
      <c r="B561" s="2" t="s">
        <v>16</v>
      </c>
      <c r="C561" s="4" t="str">
        <f aca="false">IFERROR(VLOOKUP($B561,Ref_Continente!$A:$B,2,FALSE()),"Sin clasificar")</f>
        <v>Asia</v>
      </c>
      <c r="D561" s="5" t="n">
        <v>3723</v>
      </c>
      <c r="E561" s="6" t="n">
        <v>982.6</v>
      </c>
      <c r="F561" s="6" t="n">
        <v>13100</v>
      </c>
      <c r="G561" s="5" t="n">
        <v>40866627351.98</v>
      </c>
      <c r="H561" s="4" t="n">
        <f aca="false">IFERROR(IF(AND(VLOOKUP($B561,Ref_Acuerdos!$A:$E,2,FALSE())="FTA",$A561&gt;=VLOOKUP($B561,Ref_Acuerdos!$A:$E,3,FALSE())),1,0),0)</f>
        <v>0</v>
      </c>
      <c r="I561" s="4" t="n">
        <f aca="false">IFERROR(IF(AND(VLOOKUP($B561,Ref_Acuerdos!$A:$E,2,FALSE())="PTA",$A561&gt;=VLOOKUP($B561,Ref_Acuerdos!$A:$E,3,FALSE())),1,0),0)</f>
        <v>0</v>
      </c>
      <c r="J561" s="7" t="str">
        <f aca="false">IFERROR(IF($A561&gt;=VLOOKUP($B561,Ref_Acuerdos!$A:$E,3,FALSE()),VLOOKUP($B561,Ref_Acuerdos!$A:$E,4,FALSE()),""),"")</f>
        <v/>
      </c>
      <c r="K561" s="4" t="str">
        <f aca="false">IFERROR(IF($A561&gt;=VLOOKUP($B561,Ref_Acuerdos!$A:$E,3,FALSE()),VLOOKUP($B561,Ref_Acuerdos!$A:$E,5,FALSE()),"Sin FTA/PTA vigente ese año - arancel NMF"),"Sin FTA/PTA identificado - arancel NMF")</f>
        <v>Sin FTA/PTA identificado - arancel NMF</v>
      </c>
    </row>
    <row r="562" customFormat="false" ht="15" hidden="false" customHeight="false" outlineLevel="0" collapsed="false">
      <c r="A562" s="2" t="n">
        <v>2017</v>
      </c>
      <c r="B562" s="2" t="s">
        <v>31</v>
      </c>
      <c r="C562" s="4" t="str">
        <f aca="false">IFERROR(VLOOKUP($B562,Ref_Continente!$A:$B,2,FALSE()),"Sin clasificar")</f>
        <v>Europe</v>
      </c>
      <c r="D562" s="5" t="n">
        <v>3190</v>
      </c>
      <c r="E562" s="6" t="n">
        <v>866</v>
      </c>
      <c r="F562" s="6" t="n">
        <v>10400</v>
      </c>
      <c r="G562" s="5" t="n">
        <v>56182782585.91</v>
      </c>
      <c r="H562" s="4" t="n">
        <f aca="false">IFERROR(IF(AND(VLOOKUP($B562,Ref_Acuerdos!$A:$E,2,FALSE())="FTA",$A562&gt;=VLOOKUP($B562,Ref_Acuerdos!$A:$E,3,FALSE())),1,0),0)</f>
        <v>1</v>
      </c>
      <c r="I562" s="4" t="n">
        <f aca="false">IFERROR(IF(AND(VLOOKUP($B562,Ref_Acuerdos!$A:$E,2,FALSE())="PTA",$A562&gt;=VLOOKUP($B562,Ref_Acuerdos!$A:$E,3,FALSE())),1,0),0)</f>
        <v>0</v>
      </c>
      <c r="J562" s="7" t="n">
        <f aca="false">IFERROR(IF($A562&gt;=VLOOKUP($B562,Ref_Acuerdos!$A:$E,3,FALSE()),VLOOKUP($B562,Ref_Acuerdos!$A:$E,4,FALSE()),""),"")</f>
        <v>0</v>
      </c>
      <c r="K562" s="4" t="str">
        <f aca="false">IFERROR(IF($A562&gt;=VLOOKUP($B562,Ref_Acuerdos!$A:$E,3,FALSE()),VLOOKUP($B562,Ref_Acuerdos!$A:$E,5,FALSE()),"Sin FTA/PTA vigente ese año - arancel NMF"),"Sin FTA/PTA identificado - arancel NMF")</f>
        <v>UE-Ecuador Acuerdo Multipartes, vigente desde ene-2017</v>
      </c>
    </row>
    <row r="563" customFormat="false" ht="15" hidden="false" customHeight="false" outlineLevel="0" collapsed="false">
      <c r="A563" s="2" t="n">
        <v>2017</v>
      </c>
      <c r="B563" s="2" t="s">
        <v>117</v>
      </c>
      <c r="C563" s="4" t="str">
        <f aca="false">IFERROR(VLOOKUP($B563,Ref_Continente!$A:$B,2,FALSE()),"Sin clasificar")</f>
        <v>Europe</v>
      </c>
      <c r="D563" s="5" t="n">
        <v>3074</v>
      </c>
      <c r="E563" s="6" t="n">
        <v>814.6</v>
      </c>
      <c r="F563" s="6" t="n">
        <v>9200</v>
      </c>
      <c r="G563" s="5" t="n">
        <v>2699118387873.1</v>
      </c>
      <c r="H563" s="4" t="n">
        <f aca="false">IFERROR(IF(AND(VLOOKUP($B563,Ref_Acuerdos!$A:$E,2,FALSE())="FTA",$A563&gt;=VLOOKUP($B563,Ref_Acuerdos!$A:$E,3,FALSE())),1,0),0)</f>
        <v>0</v>
      </c>
      <c r="I563" s="4" t="n">
        <f aca="false">IFERROR(IF(AND(VLOOKUP($B563,Ref_Acuerdos!$A:$E,2,FALSE())="PTA",$A563&gt;=VLOOKUP($B563,Ref_Acuerdos!$A:$E,3,FALSE())),1,0),0)</f>
        <v>0</v>
      </c>
      <c r="J563" s="7" t="str">
        <f aca="false">IFERROR(IF($A563&gt;=VLOOKUP($B563,Ref_Acuerdos!$A:$E,3,FALSE()),VLOOKUP($B563,Ref_Acuerdos!$A:$E,4,FALSE()),""),"")</f>
        <v/>
      </c>
      <c r="K563" s="4" t="str">
        <f aca="false">IFERROR(IF($A563&gt;=VLOOKUP($B563,Ref_Acuerdos!$A:$E,3,FALSE()),VLOOKUP($B563,Ref_Acuerdos!$A:$E,5,FALSE()),"Sin FTA/PTA vigente ese año - arancel NMF"),"Sin FTA/PTA identificado - arancel NMF")</f>
        <v>Sin FTA/PTA vigente ese año - arancel NMF</v>
      </c>
    </row>
    <row r="564" customFormat="false" ht="15" hidden="false" customHeight="false" outlineLevel="0" collapsed="false">
      <c r="A564" s="2" t="n">
        <v>2017</v>
      </c>
      <c r="B564" s="2" t="s">
        <v>39</v>
      </c>
      <c r="C564" s="4" t="str">
        <f aca="false">IFERROR(VLOOKUP($B564,Ref_Continente!$A:$B,2,FALSE()),"Sin clasificar")</f>
        <v>North America</v>
      </c>
      <c r="D564" s="5" t="n">
        <v>3066</v>
      </c>
      <c r="E564" s="6" t="n">
        <v>725.4</v>
      </c>
      <c r="F564" s="6" t="n">
        <v>2000</v>
      </c>
      <c r="G564" s="5" t="n">
        <v>24979190000</v>
      </c>
      <c r="H564" s="4" t="n">
        <f aca="false">IFERROR(IF(AND(VLOOKUP($B564,Ref_Acuerdos!$A:$E,2,FALSE())="FTA",$A564&gt;=VLOOKUP($B564,Ref_Acuerdos!$A:$E,3,FALSE())),1,0),0)</f>
        <v>0</v>
      </c>
      <c r="I564" s="4" t="n">
        <f aca="false">IFERROR(IF(AND(VLOOKUP($B564,Ref_Acuerdos!$A:$E,2,FALSE())="PTA",$A564&gt;=VLOOKUP($B564,Ref_Acuerdos!$A:$E,3,FALSE())),1,0),0)</f>
        <v>0</v>
      </c>
      <c r="J564" s="7" t="str">
        <f aca="false">IFERROR(IF($A564&gt;=VLOOKUP($B564,Ref_Acuerdos!$A:$E,3,FALSE()),VLOOKUP($B564,Ref_Acuerdos!$A:$E,4,FALSE()),""),"")</f>
        <v/>
      </c>
      <c r="K564" s="4" t="str">
        <f aca="false">IFERROR(IF($A564&gt;=VLOOKUP($B564,Ref_Acuerdos!$A:$E,3,FALSE()),VLOOKUP($B564,Ref_Acuerdos!$A:$E,5,FALSE()),"Sin FTA/PTA vigente ese año - arancel NMF"),"Sin FTA/PTA identificado - arancel NMF")</f>
        <v>Sin FTA/PTA identificado - arancel NMF</v>
      </c>
    </row>
    <row r="565" customFormat="false" ht="15" hidden="false" customHeight="false" outlineLevel="0" collapsed="false">
      <c r="A565" s="2" t="n">
        <v>2017</v>
      </c>
      <c r="B565" s="2" t="s">
        <v>68</v>
      </c>
      <c r="C565" s="4" t="str">
        <f aca="false">IFERROR(VLOOKUP($B565,Ref_Continente!$A:$B,2,FALSE()),"Sin clasificar")</f>
        <v>Europe</v>
      </c>
      <c r="D565" s="5" t="n">
        <v>2712</v>
      </c>
      <c r="E565" s="6" t="n">
        <v>855.5</v>
      </c>
      <c r="F565" s="6" t="n">
        <v>10250</v>
      </c>
      <c r="G565" s="5" t="n">
        <v>47756764508.45</v>
      </c>
      <c r="H565" s="4" t="n">
        <f aca="false">IFERROR(IF(AND(VLOOKUP($B565,Ref_Acuerdos!$A:$E,2,FALSE())="FTA",$A565&gt;=VLOOKUP($B565,Ref_Acuerdos!$A:$E,3,FALSE())),1,0),0)</f>
        <v>1</v>
      </c>
      <c r="I565" s="4" t="n">
        <f aca="false">IFERROR(IF(AND(VLOOKUP($B565,Ref_Acuerdos!$A:$E,2,FALSE())="PTA",$A565&gt;=VLOOKUP($B565,Ref_Acuerdos!$A:$E,3,FALSE())),1,0),0)</f>
        <v>0</v>
      </c>
      <c r="J565" s="7" t="n">
        <f aca="false">IFERROR(IF($A565&gt;=VLOOKUP($B565,Ref_Acuerdos!$A:$E,3,FALSE()),VLOOKUP($B565,Ref_Acuerdos!$A:$E,4,FALSE()),""),"")</f>
        <v>0</v>
      </c>
      <c r="K565" s="4" t="str">
        <f aca="false">IFERROR(IF($A565&gt;=VLOOKUP($B565,Ref_Acuerdos!$A:$E,3,FALSE()),VLOOKUP($B565,Ref_Acuerdos!$A:$E,5,FALSE()),"Sin FTA/PTA vigente ese año - arancel NMF"),"Sin FTA/PTA identificado - arancel NMF")</f>
        <v>UE-Ecuador Acuerdo Multipartes, vigente desde ene-2017</v>
      </c>
    </row>
    <row r="566" customFormat="false" ht="15" hidden="false" customHeight="false" outlineLevel="0" collapsed="false">
      <c r="A566" s="2" t="n">
        <v>2017</v>
      </c>
      <c r="B566" s="2" t="s">
        <v>27</v>
      </c>
      <c r="C566" s="4" t="str">
        <f aca="false">IFERROR(VLOOKUP($B566,Ref_Continente!$A:$B,2,FALSE()),"Sin clasificar")</f>
        <v>Asia</v>
      </c>
      <c r="D566" s="5" t="n">
        <v>2322</v>
      </c>
      <c r="E566" s="6" t="n">
        <v>252.9</v>
      </c>
      <c r="F566" s="6" t="n">
        <v>17000</v>
      </c>
      <c r="G566" s="5" t="n">
        <v>12537559062282.9</v>
      </c>
      <c r="H566" s="4" t="n">
        <f aca="false">IFERROR(IF(AND(VLOOKUP($B566,Ref_Acuerdos!$A:$E,2,FALSE())="FTA",$A566&gt;=VLOOKUP($B566,Ref_Acuerdos!$A:$E,3,FALSE())),1,0),0)</f>
        <v>0</v>
      </c>
      <c r="I566" s="4" t="n">
        <f aca="false">IFERROR(IF(AND(VLOOKUP($B566,Ref_Acuerdos!$A:$E,2,FALSE())="PTA",$A566&gt;=VLOOKUP($B566,Ref_Acuerdos!$A:$E,3,FALSE())),1,0),0)</f>
        <v>0</v>
      </c>
      <c r="J566" s="7" t="str">
        <f aca="false">IFERROR(IF($A566&gt;=VLOOKUP($B566,Ref_Acuerdos!$A:$E,3,FALSE()),VLOOKUP($B566,Ref_Acuerdos!$A:$E,4,FALSE()),""),"")</f>
        <v/>
      </c>
      <c r="K566" s="4" t="str">
        <f aca="false">IFERROR(IF($A566&gt;=VLOOKUP($B566,Ref_Acuerdos!$A:$E,3,FALSE()),VLOOKUP($B566,Ref_Acuerdos!$A:$E,5,FALSE()),"Sin FTA/PTA vigente ese año - arancel NMF"),"Sin FTA/PTA identificado - arancel NMF")</f>
        <v>Sin FTA/PTA vigente ese año - arancel NMF</v>
      </c>
    </row>
    <row r="567" customFormat="false" ht="15" hidden="false" customHeight="false" outlineLevel="0" collapsed="false">
      <c r="A567" s="2" t="n">
        <v>2017</v>
      </c>
      <c r="B567" s="2" t="s">
        <v>46</v>
      </c>
      <c r="C567" s="4" t="str">
        <f aca="false">IFERROR(VLOOKUP($B567,Ref_Continente!$A:$B,2,FALSE()),"Sin clasificar")</f>
        <v>Europe</v>
      </c>
      <c r="D567" s="5" t="n">
        <v>1400</v>
      </c>
      <c r="E567" s="6" t="n">
        <v>300</v>
      </c>
      <c r="F567" s="6" t="n">
        <v>11250</v>
      </c>
      <c r="G567" s="5" t="n">
        <v>200381103984.3</v>
      </c>
      <c r="H567" s="4" t="n">
        <f aca="false">IFERROR(IF(AND(VLOOKUP($B567,Ref_Acuerdos!$A:$E,2,FALSE())="FTA",$A567&gt;=VLOOKUP($B567,Ref_Acuerdos!$A:$E,3,FALSE())),1,0),0)</f>
        <v>1</v>
      </c>
      <c r="I567" s="4" t="n">
        <f aca="false">IFERROR(IF(AND(VLOOKUP($B567,Ref_Acuerdos!$A:$E,2,FALSE())="PTA",$A567&gt;=VLOOKUP($B567,Ref_Acuerdos!$A:$E,3,FALSE())),1,0),0)</f>
        <v>0</v>
      </c>
      <c r="J567" s="7" t="n">
        <f aca="false">IFERROR(IF($A567&gt;=VLOOKUP($B567,Ref_Acuerdos!$A:$E,3,FALSE()),VLOOKUP($B567,Ref_Acuerdos!$A:$E,4,FALSE()),""),"")</f>
        <v>0</v>
      </c>
      <c r="K567" s="4" t="str">
        <f aca="false">IFERROR(IF($A567&gt;=VLOOKUP($B567,Ref_Acuerdos!$A:$E,3,FALSE()),VLOOKUP($B567,Ref_Acuerdos!$A:$E,5,FALSE()),"Sin FTA/PTA vigente ese año - arancel NMF"),"Sin FTA/PTA identificado - arancel NMF")</f>
        <v>UE-Ecuador Acuerdo Multipartes, vigente desde ene-2017</v>
      </c>
    </row>
    <row r="568" customFormat="false" ht="15" hidden="false" customHeight="false" outlineLevel="0" collapsed="false">
      <c r="A568" s="2" t="n">
        <v>2017</v>
      </c>
      <c r="B568" s="2" t="s">
        <v>18</v>
      </c>
      <c r="C568" s="4" t="str">
        <f aca="false">IFERROR(VLOOKUP($B568,Ref_Continente!$A:$B,2,FALSE()),"Sin clasificar")</f>
        <v>Asia</v>
      </c>
      <c r="D568" s="5" t="n">
        <v>1390</v>
      </c>
      <c r="E568" s="6" t="n">
        <v>193.2</v>
      </c>
      <c r="F568" s="6" t="n">
        <v>13800</v>
      </c>
      <c r="G568" s="5" t="n">
        <v>37204813829.79</v>
      </c>
      <c r="H568" s="4" t="n">
        <f aca="false">IFERROR(IF(AND(VLOOKUP($B568,Ref_Acuerdos!$A:$E,2,FALSE())="FTA",$A568&gt;=VLOOKUP($B568,Ref_Acuerdos!$A:$E,3,FALSE())),1,0),0)</f>
        <v>0</v>
      </c>
      <c r="I568" s="4" t="n">
        <f aca="false">IFERROR(IF(AND(VLOOKUP($B568,Ref_Acuerdos!$A:$E,2,FALSE())="PTA",$A568&gt;=VLOOKUP($B568,Ref_Acuerdos!$A:$E,3,FALSE())),1,0),0)</f>
        <v>0</v>
      </c>
      <c r="J568" s="7" t="str">
        <f aca="false">IFERROR(IF($A568&gt;=VLOOKUP($B568,Ref_Acuerdos!$A:$E,3,FALSE()),VLOOKUP($B568,Ref_Acuerdos!$A:$E,4,FALSE()),""),"")</f>
        <v/>
      </c>
      <c r="K568" s="4" t="str">
        <f aca="false">IFERROR(IF($A568&gt;=VLOOKUP($B568,Ref_Acuerdos!$A:$E,3,FALSE()),VLOOKUP($B568,Ref_Acuerdos!$A:$E,5,FALSE()),"Sin FTA/PTA vigente ese año - arancel NMF"),"Sin FTA/PTA identificado - arancel NMF")</f>
        <v>Sin FTA/PTA identificado - arancel NMF</v>
      </c>
    </row>
    <row r="569" customFormat="false" ht="15" hidden="false" customHeight="false" outlineLevel="0" collapsed="false">
      <c r="A569" s="2" t="n">
        <v>2017</v>
      </c>
      <c r="B569" s="2" t="s">
        <v>104</v>
      </c>
      <c r="C569" s="4" t="str">
        <f aca="false">IFERROR(VLOOKUP($B569,Ref_Continente!$A:$B,2,FALSE()),"Sin clasificar")</f>
        <v>Europe</v>
      </c>
      <c r="D569" s="5" t="n">
        <v>1360</v>
      </c>
      <c r="E569" s="6" t="n">
        <v>282</v>
      </c>
      <c r="F569" s="6" t="n">
        <v>10300</v>
      </c>
      <c r="G569" s="5" t="n">
        <v>48153200134.66</v>
      </c>
      <c r="H569" s="4" t="n">
        <f aca="false">IFERROR(IF(AND(VLOOKUP($B569,Ref_Acuerdos!$A:$E,2,FALSE())="FTA",$A569&gt;=VLOOKUP($B569,Ref_Acuerdos!$A:$E,3,FALSE())),1,0),0)</f>
        <v>1</v>
      </c>
      <c r="I569" s="4" t="n">
        <f aca="false">IFERROR(IF(AND(VLOOKUP($B569,Ref_Acuerdos!$A:$E,2,FALSE())="PTA",$A569&gt;=VLOOKUP($B569,Ref_Acuerdos!$A:$E,3,FALSE())),1,0),0)</f>
        <v>0</v>
      </c>
      <c r="J569" s="7" t="n">
        <f aca="false">IFERROR(IF($A569&gt;=VLOOKUP($B569,Ref_Acuerdos!$A:$E,3,FALSE()),VLOOKUP($B569,Ref_Acuerdos!$A:$E,4,FALSE()),""),"")</f>
        <v>0</v>
      </c>
      <c r="K569" s="4" t="str">
        <f aca="false">IFERROR(IF($A569&gt;=VLOOKUP($B569,Ref_Acuerdos!$A:$E,3,FALSE()),VLOOKUP($B569,Ref_Acuerdos!$A:$E,5,FALSE()),"Sin FTA/PTA vigente ese año - arancel NMF"),"Sin FTA/PTA identificado - arancel NMF")</f>
        <v>UE-Ecuador Acuerdo Multipartes, vigente desde ene-2017</v>
      </c>
    </row>
    <row r="570" customFormat="false" ht="15" hidden="false" customHeight="false" outlineLevel="0" collapsed="false">
      <c r="A570" s="2" t="n">
        <v>2017</v>
      </c>
      <c r="B570" s="2" t="s">
        <v>112</v>
      </c>
      <c r="C570" s="4" t="str">
        <f aca="false">IFERROR(VLOOKUP($B570,Ref_Continente!$A:$B,2,FALSE()),"Sin clasificar")</f>
        <v>Asia</v>
      </c>
      <c r="D570" s="5" t="n">
        <v>1097</v>
      </c>
      <c r="E570" s="6" t="n">
        <v>416</v>
      </c>
      <c r="F570" s="6" t="n">
        <v>13800</v>
      </c>
      <c r="G570" s="5" t="n">
        <v>37926285714.29</v>
      </c>
      <c r="H570" s="4" t="n">
        <f aca="false">IFERROR(IF(AND(VLOOKUP($B570,Ref_Acuerdos!$A:$E,2,FALSE())="FTA",$A570&gt;=VLOOKUP($B570,Ref_Acuerdos!$A:$E,3,FALSE())),1,0),0)</f>
        <v>0</v>
      </c>
      <c r="I570" s="4" t="n">
        <f aca="false">IFERROR(IF(AND(VLOOKUP($B570,Ref_Acuerdos!$A:$E,2,FALSE())="PTA",$A570&gt;=VLOOKUP($B570,Ref_Acuerdos!$A:$E,3,FALSE())),1,0),0)</f>
        <v>0</v>
      </c>
      <c r="J570" s="7" t="str">
        <f aca="false">IFERROR(IF($A570&gt;=VLOOKUP($B570,Ref_Acuerdos!$A:$E,3,FALSE()),VLOOKUP($B570,Ref_Acuerdos!$A:$E,4,FALSE()),""),"")</f>
        <v/>
      </c>
      <c r="K570" s="4" t="str">
        <f aca="false">IFERROR(IF($A570&gt;=VLOOKUP($B570,Ref_Acuerdos!$A:$E,3,FALSE()),VLOOKUP($B570,Ref_Acuerdos!$A:$E,5,FALSE()),"Sin FTA/PTA vigente ese año - arancel NMF"),"Sin FTA/PTA identificado - arancel NMF")</f>
        <v>Sin FTA/PTA identificado - arancel NMF</v>
      </c>
    </row>
    <row r="571" customFormat="false" ht="15" hidden="false" customHeight="false" outlineLevel="0" collapsed="false">
      <c r="A571" s="2" t="n">
        <v>2017</v>
      </c>
      <c r="B571" s="2" t="s">
        <v>23</v>
      </c>
      <c r="C571" s="4" t="str">
        <f aca="false">IFERROR(VLOOKUP($B571,Ref_Continente!$A:$B,2,FALSE()),"Sin clasificar")</f>
        <v>South America</v>
      </c>
      <c r="D571" s="5" t="n">
        <v>1000</v>
      </c>
      <c r="E571" s="6" t="n">
        <v>820</v>
      </c>
      <c r="F571" s="6" t="n">
        <v>4330</v>
      </c>
      <c r="G571" s="5" t="n">
        <v>2063514688805.78</v>
      </c>
      <c r="H571" s="4" t="n">
        <f aca="false">IFERROR(IF(AND(VLOOKUP($B571,Ref_Acuerdos!$A:$E,2,FALSE())="FTA",$A571&gt;=VLOOKUP($B571,Ref_Acuerdos!$A:$E,3,FALSE())),1,0),0)</f>
        <v>0</v>
      </c>
      <c r="I571" s="4" t="n">
        <f aca="false">IFERROR(IF(AND(VLOOKUP($B571,Ref_Acuerdos!$A:$E,2,FALSE())="PTA",$A571&gt;=VLOOKUP($B571,Ref_Acuerdos!$A:$E,3,FALSE())),1,0),0)</f>
        <v>1</v>
      </c>
      <c r="J571" s="7" t="n">
        <f aca="false">IFERROR(IF($A571&gt;=VLOOKUP($B571,Ref_Acuerdos!$A:$E,3,FALSE()),VLOOKUP($B571,Ref_Acuerdos!$A:$E,4,FALSE()),""),"")</f>
        <v>5</v>
      </c>
      <c r="K571" s="4" t="str">
        <f aca="false">IFERROR(IF($A571&gt;=VLOOKUP($B571,Ref_Acuerdos!$A:$E,3,FALSE()),VLOOKUP($B571,Ref_Acuerdos!$A:$E,5,FALSE()),"Sin FTA/PTA vigente ese año - arancel NMF"),"Sin FTA/PTA identificado - arancel NMF")</f>
        <v>Ecuador-Mercosur ACE 59 - preferencias parciales (tarifa referencial)</v>
      </c>
    </row>
    <row r="572" customFormat="false" ht="15" hidden="false" customHeight="false" outlineLevel="0" collapsed="false">
      <c r="A572" s="2" t="n">
        <v>2017</v>
      </c>
      <c r="B572" s="2" t="s">
        <v>91</v>
      </c>
      <c r="C572" s="4" t="str">
        <f aca="false">IFERROR(VLOOKUP($B572,Ref_Continente!$A:$B,2,FALSE()),"Sin clasificar")</f>
        <v>Europe</v>
      </c>
      <c r="D572" s="5" t="n">
        <v>722</v>
      </c>
      <c r="E572" s="6" t="n">
        <v>479.9</v>
      </c>
      <c r="F572" s="6" t="n">
        <v>8700</v>
      </c>
      <c r="G572" s="5" t="n">
        <v>220862990767.23</v>
      </c>
      <c r="H572" s="4" t="n">
        <f aca="false">IFERROR(IF(AND(VLOOKUP($B572,Ref_Acuerdos!$A:$E,2,FALSE())="FTA",$A572&gt;=VLOOKUP($B572,Ref_Acuerdos!$A:$E,3,FALSE())),1,0),0)</f>
        <v>1</v>
      </c>
      <c r="I572" s="4" t="n">
        <f aca="false">IFERROR(IF(AND(VLOOKUP($B572,Ref_Acuerdos!$A:$E,2,FALSE())="PTA",$A572&gt;=VLOOKUP($B572,Ref_Acuerdos!$A:$E,3,FALSE())),1,0),0)</f>
        <v>0</v>
      </c>
      <c r="J572" s="7" t="n">
        <f aca="false">IFERROR(IF($A572&gt;=VLOOKUP($B572,Ref_Acuerdos!$A:$E,3,FALSE()),VLOOKUP($B572,Ref_Acuerdos!$A:$E,4,FALSE()),""),"")</f>
        <v>0</v>
      </c>
      <c r="K572" s="4" t="str">
        <f aca="false">IFERROR(IF($A572&gt;=VLOOKUP($B572,Ref_Acuerdos!$A:$E,3,FALSE()),VLOOKUP($B572,Ref_Acuerdos!$A:$E,5,FALSE()),"Sin FTA/PTA vigente ese año - arancel NMF"),"Sin FTA/PTA identificado - arancel NMF")</f>
        <v>UE-Ecuador Acuerdo Multipartes, vigente desde ene-2017</v>
      </c>
    </row>
    <row r="573" customFormat="false" ht="15" hidden="false" customHeight="false" outlineLevel="0" collapsed="false">
      <c r="A573" s="2" t="n">
        <v>2017</v>
      </c>
      <c r="B573" s="2" t="s">
        <v>82</v>
      </c>
      <c r="C573" s="4" t="str">
        <f aca="false">IFERROR(VLOOKUP($B573,Ref_Continente!$A:$B,2,FALSE()),"Sin clasificar")</f>
        <v>Europe</v>
      </c>
      <c r="D573" s="5" t="n">
        <v>580</v>
      </c>
      <c r="E573" s="6" t="n">
        <v>413</v>
      </c>
      <c r="F573" s="6" t="n">
        <v>11170</v>
      </c>
      <c r="G573" s="5" t="n">
        <v>11307067069.67</v>
      </c>
      <c r="H573" s="4" t="n">
        <f aca="false">IFERROR(IF(AND(VLOOKUP($B573,Ref_Acuerdos!$A:$E,2,FALSE())="FTA",$A573&gt;=VLOOKUP($B573,Ref_Acuerdos!$A:$E,3,FALSE())),1,0),0)</f>
        <v>0</v>
      </c>
      <c r="I573" s="4" t="n">
        <f aca="false">IFERROR(IF(AND(VLOOKUP($B573,Ref_Acuerdos!$A:$E,2,FALSE())="PTA",$A573&gt;=VLOOKUP($B573,Ref_Acuerdos!$A:$E,3,FALSE())),1,0),0)</f>
        <v>0</v>
      </c>
      <c r="J573" s="7" t="str">
        <f aca="false">IFERROR(IF($A573&gt;=VLOOKUP($B573,Ref_Acuerdos!$A:$E,3,FALSE()),VLOOKUP($B573,Ref_Acuerdos!$A:$E,4,FALSE()),""),"")</f>
        <v/>
      </c>
      <c r="K573" s="4" t="str">
        <f aca="false">IFERROR(IF($A573&gt;=VLOOKUP($B573,Ref_Acuerdos!$A:$E,3,FALSE()),VLOOKUP($B573,Ref_Acuerdos!$A:$E,5,FALSE()),"Sin FTA/PTA vigente ese año - arancel NMF"),"Sin FTA/PTA identificado - arancel NMF")</f>
        <v>Sin FTA/PTA identificado - arancel NMF</v>
      </c>
    </row>
    <row r="574" customFormat="false" ht="15" hidden="false" customHeight="false" outlineLevel="0" collapsed="false">
      <c r="A574" s="2" t="n">
        <v>2017</v>
      </c>
      <c r="B574" s="2" t="s">
        <v>28</v>
      </c>
      <c r="C574" s="4" t="str">
        <f aca="false">IFERROR(VLOOKUP($B574,Ref_Continente!$A:$B,2,FALSE()),"Sin clasificar")</f>
        <v>Asia</v>
      </c>
      <c r="D574" s="5" t="n">
        <v>530</v>
      </c>
      <c r="E574" s="6" t="n">
        <v>259.8</v>
      </c>
      <c r="F574" s="6" t="n">
        <v>17700</v>
      </c>
      <c r="G574" s="5" t="n">
        <v>341273289534.47</v>
      </c>
      <c r="H574" s="4" t="n">
        <f aca="false">IFERROR(IF(AND(VLOOKUP($B574,Ref_Acuerdos!$A:$E,2,FALSE())="FTA",$A574&gt;=VLOOKUP($B574,Ref_Acuerdos!$A:$E,3,FALSE())),1,0),0)</f>
        <v>0</v>
      </c>
      <c r="I574" s="4" t="n">
        <f aca="false">IFERROR(IF(AND(VLOOKUP($B574,Ref_Acuerdos!$A:$E,2,FALSE())="PTA",$A574&gt;=VLOOKUP($B574,Ref_Acuerdos!$A:$E,3,FALSE())),1,0),0)</f>
        <v>0</v>
      </c>
      <c r="J574" s="7" t="str">
        <f aca="false">IFERROR(IF($A574&gt;=VLOOKUP($B574,Ref_Acuerdos!$A:$E,3,FALSE()),VLOOKUP($B574,Ref_Acuerdos!$A:$E,4,FALSE()),""),"")</f>
        <v/>
      </c>
      <c r="K574" s="4" t="str">
        <f aca="false">IFERROR(IF($A574&gt;=VLOOKUP($B574,Ref_Acuerdos!$A:$E,3,FALSE()),VLOOKUP($B574,Ref_Acuerdos!$A:$E,5,FALSE()),"Sin FTA/PTA vigente ese año - arancel NMF"),"Sin FTA/PTA identificado - arancel NMF")</f>
        <v>Sin FTA/PTA identificado - arancel NMF</v>
      </c>
    </row>
    <row r="575" customFormat="false" ht="15" hidden="false" customHeight="false" outlineLevel="0" collapsed="false">
      <c r="A575" s="2" t="n">
        <v>2017</v>
      </c>
      <c r="B575" s="2" t="s">
        <v>102</v>
      </c>
      <c r="C575" s="4" t="str">
        <f aca="false">IFERROR(VLOOKUP($B575,Ref_Continente!$A:$B,2,FALSE()),"Sin clasificar")</f>
        <v>Asia</v>
      </c>
      <c r="D575" s="5" t="n">
        <v>521</v>
      </c>
      <c r="E575" s="6" t="n">
        <v>216</v>
      </c>
      <c r="F575" s="6" t="n">
        <v>18800</v>
      </c>
      <c r="G575" s="5" t="n">
        <v>343673334902.33</v>
      </c>
      <c r="H575" s="4" t="n">
        <f aca="false">IFERROR(IF(AND(VLOOKUP($B575,Ref_Acuerdos!$A:$E,2,FALSE())="FTA",$A575&gt;=VLOOKUP($B575,Ref_Acuerdos!$A:$E,3,FALSE())),1,0),0)</f>
        <v>0</v>
      </c>
      <c r="I575" s="4" t="n">
        <f aca="false">IFERROR(IF(AND(VLOOKUP($B575,Ref_Acuerdos!$A:$E,2,FALSE())="PTA",$A575&gt;=VLOOKUP($B575,Ref_Acuerdos!$A:$E,3,FALSE())),1,0),0)</f>
        <v>0</v>
      </c>
      <c r="J575" s="7" t="str">
        <f aca="false">IFERROR(IF($A575&gt;=VLOOKUP($B575,Ref_Acuerdos!$A:$E,3,FALSE()),VLOOKUP($B575,Ref_Acuerdos!$A:$E,4,FALSE()),""),"")</f>
        <v/>
      </c>
      <c r="K575" s="4" t="str">
        <f aca="false">IFERROR(IF($A575&gt;=VLOOKUP($B575,Ref_Acuerdos!$A:$E,3,FALSE()),VLOOKUP($B575,Ref_Acuerdos!$A:$E,5,FALSE()),"Sin FTA/PTA vigente ese año - arancel NMF"),"Sin FTA/PTA identificado - arancel NMF")</f>
        <v>Sin FTA/PTA identificado - arancel NMF</v>
      </c>
    </row>
    <row r="576" customFormat="false" ht="15" hidden="false" customHeight="false" outlineLevel="0" collapsed="false">
      <c r="A576" s="2" t="n">
        <v>2017</v>
      </c>
      <c r="B576" s="2" t="s">
        <v>29</v>
      </c>
      <c r="C576" s="4" t="str">
        <f aca="false">IFERROR(VLOOKUP($B576,Ref_Continente!$A:$B,2,FALSE()),"Sin clasificar")</f>
        <v>South America</v>
      </c>
      <c r="D576" s="5" t="n">
        <v>400</v>
      </c>
      <c r="E576" s="6" t="n">
        <v>400</v>
      </c>
      <c r="F576" s="6" t="n">
        <v>720</v>
      </c>
      <c r="G576" s="5" t="n">
        <v>311866875156.88</v>
      </c>
      <c r="H576" s="4" t="n">
        <f aca="false">IFERROR(IF(AND(VLOOKUP($B576,Ref_Acuerdos!$A:$E,2,FALSE())="FTA",$A576&gt;=VLOOKUP($B576,Ref_Acuerdos!$A:$E,3,FALSE())),1,0),0)</f>
        <v>0</v>
      </c>
      <c r="I576" s="4" t="n">
        <f aca="false">IFERROR(IF(AND(VLOOKUP($B576,Ref_Acuerdos!$A:$E,2,FALSE())="PTA",$A576&gt;=VLOOKUP($B576,Ref_Acuerdos!$A:$E,3,FALSE())),1,0),0)</f>
        <v>1</v>
      </c>
      <c r="J576" s="7" t="n">
        <f aca="false">IFERROR(IF($A576&gt;=VLOOKUP($B576,Ref_Acuerdos!$A:$E,3,FALSE()),VLOOKUP($B576,Ref_Acuerdos!$A:$E,4,FALSE()),""),"")</f>
        <v>0</v>
      </c>
      <c r="K576" s="4" t="str">
        <f aca="false">IFERROR(IF($A576&gt;=VLOOKUP($B576,Ref_Acuerdos!$A:$E,3,FALSE()),VLOOKUP($B576,Ref_Acuerdos!$A:$E,5,FALSE()),"Sin FTA/PTA vigente ese año - arancel NMF"),"Sin FTA/PTA identificado - arancel NMF")</f>
        <v>Comunidad Andina (CAN) - libre comercio intracomunitario</v>
      </c>
    </row>
    <row r="577" customFormat="false" ht="15" hidden="false" customHeight="false" outlineLevel="0" collapsed="false">
      <c r="A577" s="2" t="n">
        <v>2017</v>
      </c>
      <c r="B577" s="2" t="s">
        <v>54</v>
      </c>
      <c r="C577" s="4" t="str">
        <f aca="false">IFERROR(VLOOKUP($B577,Ref_Continente!$A:$B,2,FALSE()),"Sin clasificar")</f>
        <v>Asia</v>
      </c>
      <c r="D577" s="5" t="n">
        <v>400</v>
      </c>
      <c r="E577" s="6" t="n">
        <v>400</v>
      </c>
      <c r="F577" s="6" t="n">
        <v>19300</v>
      </c>
      <c r="G577" s="5" t="n">
        <v>1015618744159.73</v>
      </c>
      <c r="H577" s="4" t="n">
        <f aca="false">IFERROR(IF(AND(VLOOKUP($B577,Ref_Acuerdos!$A:$E,2,FALSE())="FTA",$A577&gt;=VLOOKUP($B577,Ref_Acuerdos!$A:$E,3,FALSE())),1,0),0)</f>
        <v>0</v>
      </c>
      <c r="I577" s="4" t="n">
        <f aca="false">IFERROR(IF(AND(VLOOKUP($B577,Ref_Acuerdos!$A:$E,2,FALSE())="PTA",$A577&gt;=VLOOKUP($B577,Ref_Acuerdos!$A:$E,3,FALSE())),1,0),0)</f>
        <v>0</v>
      </c>
      <c r="J577" s="7" t="str">
        <f aca="false">IFERROR(IF($A577&gt;=VLOOKUP($B577,Ref_Acuerdos!$A:$E,3,FALSE()),VLOOKUP($B577,Ref_Acuerdos!$A:$E,4,FALSE()),""),"")</f>
        <v/>
      </c>
      <c r="K577" s="4" t="str">
        <f aca="false">IFERROR(IF($A577&gt;=VLOOKUP($B577,Ref_Acuerdos!$A:$E,3,FALSE()),VLOOKUP($B577,Ref_Acuerdos!$A:$E,5,FALSE()),"Sin FTA/PTA vigente ese año - arancel NMF"),"Sin FTA/PTA identificado - arancel NMF")</f>
        <v>Sin FTA/PTA identificado - arancel NMF</v>
      </c>
    </row>
    <row r="578" customFormat="false" ht="15" hidden="false" customHeight="false" outlineLevel="0" collapsed="false">
      <c r="A578" s="2" t="n">
        <v>2017</v>
      </c>
      <c r="B578" s="2" t="s">
        <v>108</v>
      </c>
      <c r="C578" s="4" t="str">
        <f aca="false">IFERROR(VLOOKUP($B578,Ref_Continente!$A:$B,2,FALSE()),"Sin clasificar")</f>
        <v>Europe</v>
      </c>
      <c r="D578" s="5" t="n">
        <v>386</v>
      </c>
      <c r="E578" s="6" t="n">
        <v>91.2</v>
      </c>
      <c r="F578" s="6" t="n">
        <v>9800</v>
      </c>
      <c r="G578" s="5" t="n">
        <v>695200833086.5</v>
      </c>
      <c r="H578" s="4" t="n">
        <f aca="false">IFERROR(IF(AND(VLOOKUP($B578,Ref_Acuerdos!$A:$E,2,FALSE())="FTA",$A578&gt;=VLOOKUP($B578,Ref_Acuerdos!$A:$E,3,FALSE())),1,0),0)</f>
        <v>0</v>
      </c>
      <c r="I578" s="4" t="n">
        <f aca="false">IFERROR(IF(AND(VLOOKUP($B578,Ref_Acuerdos!$A:$E,2,FALSE())="PTA",$A578&gt;=VLOOKUP($B578,Ref_Acuerdos!$A:$E,3,FALSE())),1,0),0)</f>
        <v>0</v>
      </c>
      <c r="J578" s="7" t="str">
        <f aca="false">IFERROR(IF($A578&gt;=VLOOKUP($B578,Ref_Acuerdos!$A:$E,3,FALSE()),VLOOKUP($B578,Ref_Acuerdos!$A:$E,4,FALSE()),""),"")</f>
        <v/>
      </c>
      <c r="K578" s="4" t="str">
        <f aca="false">IFERROR(IF($A578&gt;=VLOOKUP($B578,Ref_Acuerdos!$A:$E,3,FALSE()),VLOOKUP($B578,Ref_Acuerdos!$A:$E,5,FALSE()),"Sin FTA/PTA vigente ese año - arancel NMF"),"Sin FTA/PTA identificado - arancel NMF")</f>
        <v>Sin FTA/PTA vigente ese año - arancel NMF</v>
      </c>
    </row>
    <row r="579" customFormat="false" ht="15" hidden="false" customHeight="false" outlineLevel="0" collapsed="false">
      <c r="A579" s="2" t="n">
        <v>2017</v>
      </c>
      <c r="B579" s="2" t="s">
        <v>76</v>
      </c>
      <c r="C579" s="4" t="str">
        <f aca="false">IFERROR(VLOOKUP($B579,Ref_Continente!$A:$B,2,FALSE()),"Sin clasificar")</f>
        <v>Oceania</v>
      </c>
      <c r="D579" s="5" t="n">
        <v>368</v>
      </c>
      <c r="E579" s="6" t="n">
        <v>244</v>
      </c>
      <c r="F579" s="6" t="n">
        <v>14000</v>
      </c>
      <c r="G579" s="5"/>
      <c r="H579" s="4" t="n">
        <f aca="false">IFERROR(IF(AND(VLOOKUP($B579,Ref_Acuerdos!$A:$E,2,FALSE())="FTA",$A579&gt;=VLOOKUP($B579,Ref_Acuerdos!$A:$E,3,FALSE())),1,0),0)</f>
        <v>0</v>
      </c>
      <c r="I579" s="4" t="n">
        <f aca="false">IFERROR(IF(AND(VLOOKUP($B579,Ref_Acuerdos!$A:$E,2,FALSE())="PTA",$A579&gt;=VLOOKUP($B579,Ref_Acuerdos!$A:$E,3,FALSE())),1,0),0)</f>
        <v>0</v>
      </c>
      <c r="J579" s="7" t="str">
        <f aca="false">IFERROR(IF($A579&gt;=VLOOKUP($B579,Ref_Acuerdos!$A:$E,3,FALSE()),VLOOKUP($B579,Ref_Acuerdos!$A:$E,4,FALSE()),""),"")</f>
        <v/>
      </c>
      <c r="K579" s="4" t="str">
        <f aca="false">IFERROR(IF($A579&gt;=VLOOKUP($B579,Ref_Acuerdos!$A:$E,3,FALSE()),VLOOKUP($B579,Ref_Acuerdos!$A:$E,5,FALSE()),"Sin FTA/PTA vigente ese año - arancel NMF"),"Sin FTA/PTA identificado - arancel NMF")</f>
        <v>Sin FTA/PTA identificado - arancel NMF</v>
      </c>
    </row>
    <row r="580" customFormat="false" ht="15" hidden="false" customHeight="false" outlineLevel="0" collapsed="false">
      <c r="A580" s="2" t="n">
        <v>2017</v>
      </c>
      <c r="B580" s="2" t="s">
        <v>24</v>
      </c>
      <c r="C580" s="4" t="str">
        <f aca="false">IFERROR(VLOOKUP($B580,Ref_Continente!$A:$B,2,FALSE()),"Sin clasificar")</f>
        <v>Europe</v>
      </c>
      <c r="D580" s="5" t="n">
        <v>312</v>
      </c>
      <c r="E580" s="6" t="n">
        <v>55.3</v>
      </c>
      <c r="F580" s="6" t="n">
        <v>10870</v>
      </c>
      <c r="G580" s="5" t="n">
        <v>59167647387.61</v>
      </c>
      <c r="H580" s="4" t="n">
        <f aca="false">IFERROR(IF(AND(VLOOKUP($B580,Ref_Acuerdos!$A:$E,2,FALSE())="FTA",$A580&gt;=VLOOKUP($B580,Ref_Acuerdos!$A:$E,3,FALSE())),1,0),0)</f>
        <v>1</v>
      </c>
      <c r="I580" s="4" t="n">
        <f aca="false">IFERROR(IF(AND(VLOOKUP($B580,Ref_Acuerdos!$A:$E,2,FALSE())="PTA",$A580&gt;=VLOOKUP($B580,Ref_Acuerdos!$A:$E,3,FALSE())),1,0),0)</f>
        <v>0</v>
      </c>
      <c r="J580" s="7" t="n">
        <f aca="false">IFERROR(IF($A580&gt;=VLOOKUP($B580,Ref_Acuerdos!$A:$E,3,FALSE()),VLOOKUP($B580,Ref_Acuerdos!$A:$E,4,FALSE()),""),"")</f>
        <v>0</v>
      </c>
      <c r="K580" s="4" t="str">
        <f aca="false">IFERROR(IF($A580&gt;=VLOOKUP($B580,Ref_Acuerdos!$A:$E,3,FALSE()),VLOOKUP($B580,Ref_Acuerdos!$A:$E,5,FALSE()),"Sin FTA/PTA vigente ese año - arancel NMF"),"Sin FTA/PTA identificado - arancel NMF")</f>
        <v>UE-Ecuador Acuerdo Multipartes, vigente desde ene-2017</v>
      </c>
    </row>
    <row r="581" customFormat="false" ht="15" hidden="false" customHeight="false" outlineLevel="0" collapsed="false">
      <c r="A581" s="2" t="n">
        <v>2017</v>
      </c>
      <c r="B581" s="2" t="s">
        <v>85</v>
      </c>
      <c r="C581" s="4" t="str">
        <f aca="false">IFERROR(VLOOKUP($B581,Ref_Continente!$A:$B,2,FALSE()),"Sin clasificar")</f>
        <v>Asia</v>
      </c>
      <c r="D581" s="5" t="n">
        <v>288</v>
      </c>
      <c r="E581" s="6" t="n">
        <v>34</v>
      </c>
      <c r="F581" s="6" t="n">
        <v>0</v>
      </c>
      <c r="G581" s="5"/>
      <c r="H581" s="4" t="n">
        <f aca="false">IFERROR(IF(AND(VLOOKUP($B581,Ref_Acuerdos!$A:$E,2,FALSE())="FTA",$A581&gt;=VLOOKUP($B581,Ref_Acuerdos!$A:$E,3,FALSE())),1,0),0)</f>
        <v>0</v>
      </c>
      <c r="I581" s="4" t="n">
        <f aca="false">IFERROR(IF(AND(VLOOKUP($B581,Ref_Acuerdos!$A:$E,2,FALSE())="PTA",$A581&gt;=VLOOKUP($B581,Ref_Acuerdos!$A:$E,3,FALSE())),1,0),0)</f>
        <v>0</v>
      </c>
      <c r="J581" s="7" t="str">
        <f aca="false">IFERROR(IF($A581&gt;=VLOOKUP($B581,Ref_Acuerdos!$A:$E,3,FALSE()),VLOOKUP($B581,Ref_Acuerdos!$A:$E,4,FALSE()),""),"")</f>
        <v/>
      </c>
      <c r="K581" s="4" t="str">
        <f aca="false">IFERROR(IF($A581&gt;=VLOOKUP($B581,Ref_Acuerdos!$A:$E,3,FALSE()),VLOOKUP($B581,Ref_Acuerdos!$A:$E,5,FALSE()),"Sin FTA/PTA vigente ese año - arancel NMF"),"Sin FTA/PTA identificado - arancel NMF")</f>
        <v>Sin FTA/PTA identificado - arancel NMF</v>
      </c>
    </row>
    <row r="582" customFormat="false" ht="15" hidden="false" customHeight="false" outlineLevel="0" collapsed="false">
      <c r="A582" s="2" t="n">
        <v>2017</v>
      </c>
      <c r="B582" s="2" t="s">
        <v>44</v>
      </c>
      <c r="C582" s="4" t="str">
        <f aca="false">IFERROR(VLOOKUP($B582,Ref_Continente!$A:$B,2,FALSE()),"Sin clasificar")</f>
        <v>Asia</v>
      </c>
      <c r="D582" s="5" t="n">
        <v>220</v>
      </c>
      <c r="E582" s="6" t="n">
        <v>81.8</v>
      </c>
      <c r="F582" s="6" t="n">
        <v>11600</v>
      </c>
      <c r="G582" s="5" t="n">
        <v>16473125375.07</v>
      </c>
      <c r="H582" s="4" t="n">
        <f aca="false">IFERROR(IF(AND(VLOOKUP($B582,Ref_Acuerdos!$A:$E,2,FALSE())="FTA",$A582&gt;=VLOOKUP($B582,Ref_Acuerdos!$A:$E,3,FALSE())),1,0),0)</f>
        <v>0</v>
      </c>
      <c r="I582" s="4" t="n">
        <f aca="false">IFERROR(IF(AND(VLOOKUP($B582,Ref_Acuerdos!$A:$E,2,FALSE())="PTA",$A582&gt;=VLOOKUP($B582,Ref_Acuerdos!$A:$E,3,FALSE())),1,0),0)</f>
        <v>0</v>
      </c>
      <c r="J582" s="7" t="str">
        <f aca="false">IFERROR(IF($A582&gt;=VLOOKUP($B582,Ref_Acuerdos!$A:$E,3,FALSE()),VLOOKUP($B582,Ref_Acuerdos!$A:$E,4,FALSE()),""),"")</f>
        <v/>
      </c>
      <c r="K582" s="4" t="str">
        <f aca="false">IFERROR(IF($A582&gt;=VLOOKUP($B582,Ref_Acuerdos!$A:$E,3,FALSE()),VLOOKUP($B582,Ref_Acuerdos!$A:$E,5,FALSE()),"Sin FTA/PTA vigente ese año - arancel NMF"),"Sin FTA/PTA identificado - arancel NMF")</f>
        <v>Sin FTA/PTA identificado - arancel NMF</v>
      </c>
    </row>
    <row r="583" customFormat="false" ht="15" hidden="false" customHeight="false" outlineLevel="0" collapsed="false">
      <c r="A583" s="2" t="n">
        <v>2017</v>
      </c>
      <c r="B583" s="2" t="s">
        <v>51</v>
      </c>
      <c r="C583" s="4" t="str">
        <f aca="false">IFERROR(VLOOKUP($B583,Ref_Continente!$A:$B,2,FALSE()),"Sin clasificar")</f>
        <v>North America</v>
      </c>
      <c r="D583" s="5" t="n">
        <v>200</v>
      </c>
      <c r="E583" s="6" t="n">
        <v>200</v>
      </c>
      <c r="F583" s="6" t="n">
        <v>1800</v>
      </c>
      <c r="G583" s="5" t="n">
        <v>23136247990.6</v>
      </c>
      <c r="H583" s="4" t="n">
        <f aca="false">IFERROR(IF(AND(VLOOKUP($B583,Ref_Acuerdos!$A:$E,2,FALSE())="FTA",$A583&gt;=VLOOKUP($B583,Ref_Acuerdos!$A:$E,3,FALSE())),1,0),0)</f>
        <v>0</v>
      </c>
      <c r="I583" s="4" t="n">
        <f aca="false">IFERROR(IF(AND(VLOOKUP($B583,Ref_Acuerdos!$A:$E,2,FALSE())="PTA",$A583&gt;=VLOOKUP($B583,Ref_Acuerdos!$A:$E,3,FALSE())),1,0),0)</f>
        <v>0</v>
      </c>
      <c r="J583" s="7" t="str">
        <f aca="false">IFERROR(IF($A583&gt;=VLOOKUP($B583,Ref_Acuerdos!$A:$E,3,FALSE()),VLOOKUP($B583,Ref_Acuerdos!$A:$E,4,FALSE()),""),"")</f>
        <v/>
      </c>
      <c r="K583" s="4" t="str">
        <f aca="false">IFERROR(IF($A583&gt;=VLOOKUP($B583,Ref_Acuerdos!$A:$E,3,FALSE()),VLOOKUP($B583,Ref_Acuerdos!$A:$E,5,FALSE()),"Sin FTA/PTA vigente ese año - arancel NMF"),"Sin FTA/PTA identificado - arancel NMF")</f>
        <v>Sin FTA/PTA identificado - arancel NMF</v>
      </c>
    </row>
    <row r="584" customFormat="false" ht="15" hidden="false" customHeight="false" outlineLevel="0" collapsed="false">
      <c r="A584" s="2" t="n">
        <v>2017</v>
      </c>
      <c r="B584" s="2" t="s">
        <v>70</v>
      </c>
      <c r="C584" s="4" t="str">
        <f aca="false">IFERROR(VLOOKUP($B584,Ref_Continente!$A:$B,2,FALSE()),"Sin clasificar")</f>
        <v>Asia</v>
      </c>
      <c r="D584" s="5" t="n">
        <v>200</v>
      </c>
      <c r="E584" s="6" t="n">
        <v>200</v>
      </c>
      <c r="F584" s="6" t="n">
        <v>19950</v>
      </c>
      <c r="G584" s="5" t="n">
        <v>319109094160.34</v>
      </c>
      <c r="H584" s="4" t="n">
        <f aca="false">IFERROR(IF(AND(VLOOKUP($B584,Ref_Acuerdos!$A:$E,2,FALSE())="FTA",$A584&gt;=VLOOKUP($B584,Ref_Acuerdos!$A:$E,3,FALSE())),1,0),0)</f>
        <v>0</v>
      </c>
      <c r="I584" s="4" t="n">
        <f aca="false">IFERROR(IF(AND(VLOOKUP($B584,Ref_Acuerdos!$A:$E,2,FALSE())="PTA",$A584&gt;=VLOOKUP($B584,Ref_Acuerdos!$A:$E,3,FALSE())),1,0),0)</f>
        <v>0</v>
      </c>
      <c r="J584" s="7" t="str">
        <f aca="false">IFERROR(IF($A584&gt;=VLOOKUP($B584,Ref_Acuerdos!$A:$E,3,FALSE()),VLOOKUP($B584,Ref_Acuerdos!$A:$E,4,FALSE()),""),"")</f>
        <v/>
      </c>
      <c r="K584" s="4" t="str">
        <f aca="false">IFERROR(IF($A584&gt;=VLOOKUP($B584,Ref_Acuerdos!$A:$E,3,FALSE()),VLOOKUP($B584,Ref_Acuerdos!$A:$E,5,FALSE()),"Sin FTA/PTA vigente ese año - arancel NMF"),"Sin FTA/PTA identificado - arancel NMF")</f>
        <v>Sin FTA/PTA identificado - arancel NMF</v>
      </c>
    </row>
    <row r="585" customFormat="false" ht="15" hidden="false" customHeight="false" outlineLevel="0" collapsed="false">
      <c r="A585" s="2" t="n">
        <v>2017</v>
      </c>
      <c r="B585" s="2" t="s">
        <v>81</v>
      </c>
      <c r="C585" s="4" t="str">
        <f aca="false">IFERROR(VLOOKUP($B585,Ref_Continente!$A:$B,2,FALSE()),"Sin clasificar")</f>
        <v>Africa</v>
      </c>
      <c r="D585" s="5" t="n">
        <v>200</v>
      </c>
      <c r="E585" s="6" t="n">
        <v>200</v>
      </c>
      <c r="F585" s="6" t="n">
        <v>9800</v>
      </c>
      <c r="G585" s="5" t="n">
        <v>375745731053.43</v>
      </c>
      <c r="H585" s="4" t="n">
        <f aca="false">IFERROR(IF(AND(VLOOKUP($B585,Ref_Acuerdos!$A:$E,2,FALSE())="FTA",$A585&gt;=VLOOKUP($B585,Ref_Acuerdos!$A:$E,3,FALSE())),1,0),0)</f>
        <v>0</v>
      </c>
      <c r="I585" s="4" t="n">
        <f aca="false">IFERROR(IF(AND(VLOOKUP($B585,Ref_Acuerdos!$A:$E,2,FALSE())="PTA",$A585&gt;=VLOOKUP($B585,Ref_Acuerdos!$A:$E,3,FALSE())),1,0),0)</f>
        <v>0</v>
      </c>
      <c r="J585" s="7" t="str">
        <f aca="false">IFERROR(IF($A585&gt;=VLOOKUP($B585,Ref_Acuerdos!$A:$E,3,FALSE()),VLOOKUP($B585,Ref_Acuerdos!$A:$E,4,FALSE()),""),"")</f>
        <v/>
      </c>
      <c r="K585" s="4" t="str">
        <f aca="false">IFERROR(IF($A585&gt;=VLOOKUP($B585,Ref_Acuerdos!$A:$E,3,FALSE()),VLOOKUP($B585,Ref_Acuerdos!$A:$E,5,FALSE()),"Sin FTA/PTA vigente ese año - arancel NMF"),"Sin FTA/PTA identificado - arancel NMF")</f>
        <v>Sin FTA/PTA identificado - arancel NMF</v>
      </c>
    </row>
    <row r="586" customFormat="false" ht="15" hidden="false" customHeight="false" outlineLevel="0" collapsed="false">
      <c r="A586" s="2" t="n">
        <v>2017</v>
      </c>
      <c r="B586" s="2" t="s">
        <v>107</v>
      </c>
      <c r="C586" s="4" t="str">
        <f aca="false">IFERROR(VLOOKUP($B586,Ref_Continente!$A:$B,2,FALSE()),"Sin clasificar")</f>
        <v>Europe</v>
      </c>
      <c r="D586" s="5" t="n">
        <v>200</v>
      </c>
      <c r="E586" s="6" t="n">
        <v>200</v>
      </c>
      <c r="F586" s="6" t="n">
        <v>10000</v>
      </c>
      <c r="G586" s="5" t="n">
        <v>535172356784.77</v>
      </c>
      <c r="H586" s="4" t="n">
        <f aca="false">IFERROR(IF(AND(VLOOKUP($B586,Ref_Acuerdos!$A:$E,2,FALSE())="FTA",$A586&gt;=VLOOKUP($B586,Ref_Acuerdos!$A:$E,3,FALSE())),1,0),0)</f>
        <v>1</v>
      </c>
      <c r="I586" s="4" t="n">
        <f aca="false">IFERROR(IF(AND(VLOOKUP($B586,Ref_Acuerdos!$A:$E,2,FALSE())="PTA",$A586&gt;=VLOOKUP($B586,Ref_Acuerdos!$A:$E,3,FALSE())),1,0),0)</f>
        <v>0</v>
      </c>
      <c r="J586" s="7" t="n">
        <f aca="false">IFERROR(IF($A586&gt;=VLOOKUP($B586,Ref_Acuerdos!$A:$E,3,FALSE()),VLOOKUP($B586,Ref_Acuerdos!$A:$E,4,FALSE()),""),"")</f>
        <v>0</v>
      </c>
      <c r="K586" s="4" t="str">
        <f aca="false">IFERROR(IF($A586&gt;=VLOOKUP($B586,Ref_Acuerdos!$A:$E,3,FALSE()),VLOOKUP($B586,Ref_Acuerdos!$A:$E,5,FALSE()),"Sin FTA/PTA vigente ese año - arancel NMF"),"Sin FTA/PTA identificado - arancel NMF")</f>
        <v>UE-Ecuador Acuerdo Multipartes, vigente desde ene-2017</v>
      </c>
    </row>
    <row r="587" customFormat="false" ht="15" hidden="false" customHeight="false" outlineLevel="0" collapsed="false">
      <c r="A587" s="2" t="n">
        <v>2017</v>
      </c>
      <c r="B587" s="2" t="s">
        <v>50</v>
      </c>
      <c r="C587" s="4" t="str">
        <f aca="false">IFERROR(VLOOKUP($B587,Ref_Continente!$A:$B,2,FALSE()),"Sin clasificar")</f>
        <v>North America</v>
      </c>
      <c r="D587" s="5" t="n">
        <v>186</v>
      </c>
      <c r="E587" s="6" t="n">
        <v>26.1</v>
      </c>
      <c r="F587" s="6" t="n">
        <v>2350</v>
      </c>
      <c r="G587" s="5" t="n">
        <v>15093357161.15</v>
      </c>
      <c r="H587" s="4" t="n">
        <f aca="false">IFERROR(IF(AND(VLOOKUP($B587,Ref_Acuerdos!$A:$E,2,FALSE())="FTA",$A587&gt;=VLOOKUP($B587,Ref_Acuerdos!$A:$E,3,FALSE())),1,0),0)</f>
        <v>0</v>
      </c>
      <c r="I587" s="4" t="n">
        <f aca="false">IFERROR(IF(AND(VLOOKUP($B587,Ref_Acuerdos!$A:$E,2,FALSE())="PTA",$A587&gt;=VLOOKUP($B587,Ref_Acuerdos!$A:$E,3,FALSE())),1,0),0)</f>
        <v>0</v>
      </c>
      <c r="J587" s="7" t="str">
        <f aca="false">IFERROR(IF($A587&gt;=VLOOKUP($B587,Ref_Acuerdos!$A:$E,3,FALSE()),VLOOKUP($B587,Ref_Acuerdos!$A:$E,4,FALSE()),""),"")</f>
        <v/>
      </c>
      <c r="K587" s="4" t="str">
        <f aca="false">IFERROR(IF($A587&gt;=VLOOKUP($B587,Ref_Acuerdos!$A:$E,3,FALSE()),VLOOKUP($B587,Ref_Acuerdos!$A:$E,5,FALSE()),"Sin FTA/PTA vigente ese año - arancel NMF"),"Sin FTA/PTA identificado - arancel NMF")</f>
        <v>Sin FTA/PTA identificado - arancel NMF</v>
      </c>
    </row>
    <row r="588" customFormat="false" ht="15" hidden="false" customHeight="false" outlineLevel="0" collapsed="false">
      <c r="A588" s="2" t="n">
        <v>2017</v>
      </c>
      <c r="B588" s="2" t="s">
        <v>95</v>
      </c>
      <c r="C588" s="4" t="str">
        <f aca="false">IFERROR(VLOOKUP($B588,Ref_Continente!$A:$B,2,FALSE()),"Sin clasificar")</f>
        <v>Europe</v>
      </c>
      <c r="D588" s="5" t="n">
        <v>118</v>
      </c>
      <c r="E588" s="6" t="n">
        <v>41</v>
      </c>
      <c r="F588" s="6" t="n">
        <v>11300</v>
      </c>
      <c r="G588" s="5" t="n">
        <v>210147385855.42</v>
      </c>
      <c r="H588" s="4" t="n">
        <f aca="false">IFERROR(IF(AND(VLOOKUP($B588,Ref_Acuerdos!$A:$E,2,FALSE())="FTA",$A588&gt;=VLOOKUP($B588,Ref_Acuerdos!$A:$E,3,FALSE())),1,0),0)</f>
        <v>1</v>
      </c>
      <c r="I588" s="4" t="n">
        <f aca="false">IFERROR(IF(AND(VLOOKUP($B588,Ref_Acuerdos!$A:$E,2,FALSE())="PTA",$A588&gt;=VLOOKUP($B588,Ref_Acuerdos!$A:$E,3,FALSE())),1,0),0)</f>
        <v>0</v>
      </c>
      <c r="J588" s="7" t="n">
        <f aca="false">IFERROR(IF($A588&gt;=VLOOKUP($B588,Ref_Acuerdos!$A:$E,3,FALSE()),VLOOKUP($B588,Ref_Acuerdos!$A:$E,4,FALSE()),""),"")</f>
        <v>0</v>
      </c>
      <c r="K588" s="4" t="str">
        <f aca="false">IFERROR(IF($A588&gt;=VLOOKUP($B588,Ref_Acuerdos!$A:$E,3,FALSE()),VLOOKUP($B588,Ref_Acuerdos!$A:$E,5,FALSE()),"Sin FTA/PTA vigente ese año - arancel NMF"),"Sin FTA/PTA identificado - arancel NMF")</f>
        <v>UE-Ecuador Acuerdo Multipartes, vigente desde ene-2017</v>
      </c>
    </row>
    <row r="589" customFormat="false" ht="15" hidden="false" customHeight="false" outlineLevel="0" collapsed="false">
      <c r="A589" s="2" t="n">
        <v>2017</v>
      </c>
      <c r="B589" s="2" t="s">
        <v>17</v>
      </c>
      <c r="C589" s="4" t="str">
        <f aca="false">IFERROR(VLOOKUP($B589,Ref_Continente!$A:$B,2,FALSE()),"Sin clasificar")</f>
        <v>North America</v>
      </c>
      <c r="D589" s="5" t="n">
        <v>81</v>
      </c>
      <c r="E589" s="6" t="n">
        <v>15</v>
      </c>
      <c r="F589" s="6"/>
      <c r="G589" s="5"/>
      <c r="H589" s="4" t="n">
        <f aca="false">IFERROR(IF(AND(VLOOKUP($B589,Ref_Acuerdos!$A:$E,2,FALSE())="FTA",$A589&gt;=VLOOKUP($B589,Ref_Acuerdos!$A:$E,3,FALSE())),1,0),0)</f>
        <v>0</v>
      </c>
      <c r="I589" s="4" t="n">
        <f aca="false">IFERROR(IF(AND(VLOOKUP($B589,Ref_Acuerdos!$A:$E,2,FALSE())="PTA",$A589&gt;=VLOOKUP($B589,Ref_Acuerdos!$A:$E,3,FALSE())),1,0),0)</f>
        <v>0</v>
      </c>
      <c r="J589" s="7" t="str">
        <f aca="false">IFERROR(IF($A589&gt;=VLOOKUP($B589,Ref_Acuerdos!$A:$E,3,FALSE()),VLOOKUP($B589,Ref_Acuerdos!$A:$E,4,FALSE()),""),"")</f>
        <v/>
      </c>
      <c r="K589" s="4" t="str">
        <f aca="false">IFERROR(IF($A589&gt;=VLOOKUP($B589,Ref_Acuerdos!$A:$E,3,FALSE()),VLOOKUP($B589,Ref_Acuerdos!$A:$E,5,FALSE()),"Sin FTA/PTA vigente ese año - arancel NMF"),"Sin FTA/PTA identificado - arancel NMF")</f>
        <v>Sin FTA/PTA identificado - arancel NMF</v>
      </c>
    </row>
    <row r="590" customFormat="false" ht="15" hidden="false" customHeight="false" outlineLevel="0" collapsed="false">
      <c r="A590" s="2" t="n">
        <v>2017</v>
      </c>
      <c r="B590" s="2" t="s">
        <v>10</v>
      </c>
      <c r="C590" s="4" t="str">
        <f aca="false">IFERROR(VLOOKUP($B590,Ref_Continente!$A:$B,2,FALSE()),"Sin clasificar")</f>
        <v>North America</v>
      </c>
      <c r="D590" s="5" t="n">
        <v>80</v>
      </c>
      <c r="E590" s="6" t="n">
        <v>7.1</v>
      </c>
      <c r="F590" s="6" t="n">
        <v>2100</v>
      </c>
      <c r="G590" s="5" t="n">
        <v>3092427932.96</v>
      </c>
      <c r="H590" s="4" t="n">
        <f aca="false">IFERROR(IF(AND(VLOOKUP($B590,Ref_Acuerdos!$A:$E,2,FALSE())="FTA",$A590&gt;=VLOOKUP($B590,Ref_Acuerdos!$A:$E,3,FALSE())),1,0),0)</f>
        <v>0</v>
      </c>
      <c r="I590" s="4" t="n">
        <f aca="false">IFERROR(IF(AND(VLOOKUP($B590,Ref_Acuerdos!$A:$E,2,FALSE())="PTA",$A590&gt;=VLOOKUP($B590,Ref_Acuerdos!$A:$E,3,FALSE())),1,0),0)</f>
        <v>0</v>
      </c>
      <c r="J590" s="7" t="str">
        <f aca="false">IFERROR(IF($A590&gt;=VLOOKUP($B590,Ref_Acuerdos!$A:$E,3,FALSE()),VLOOKUP($B590,Ref_Acuerdos!$A:$E,4,FALSE()),""),"")</f>
        <v/>
      </c>
      <c r="K590" s="4" t="str">
        <f aca="false">IFERROR(IF($A590&gt;=VLOOKUP($B590,Ref_Acuerdos!$A:$E,3,FALSE()),VLOOKUP($B590,Ref_Acuerdos!$A:$E,5,FALSE()),"Sin FTA/PTA vigente ese año - arancel NMF"),"Sin FTA/PTA identificado - arancel NMF")</f>
        <v>Sin FTA/PTA identificado - arancel NMF</v>
      </c>
    </row>
    <row r="591" customFormat="false" ht="15" hidden="false" customHeight="false" outlineLevel="0" collapsed="false">
      <c r="A591" s="2" t="n">
        <v>2017</v>
      </c>
      <c r="B591" s="2" t="s">
        <v>41</v>
      </c>
      <c r="C591" s="4" t="str">
        <f aca="false">IFERROR(VLOOKUP($B591,Ref_Continente!$A:$B,2,FALSE()),"Sin clasificar")</f>
        <v>Europe</v>
      </c>
      <c r="D591" s="5" t="n">
        <v>65</v>
      </c>
      <c r="E591" s="6" t="n">
        <v>48</v>
      </c>
      <c r="F591" s="6" t="n">
        <v>10450</v>
      </c>
      <c r="G591" s="5" t="n">
        <v>253846138440</v>
      </c>
      <c r="H591" s="4" t="n">
        <f aca="false">IFERROR(IF(AND(VLOOKUP($B591,Ref_Acuerdos!$A:$E,2,FALSE())="FTA",$A591&gt;=VLOOKUP($B591,Ref_Acuerdos!$A:$E,3,FALSE())),1,0),0)</f>
        <v>1</v>
      </c>
      <c r="I591" s="4" t="n">
        <f aca="false">IFERROR(IF(AND(VLOOKUP($B591,Ref_Acuerdos!$A:$E,2,FALSE())="PTA",$A591&gt;=VLOOKUP($B591,Ref_Acuerdos!$A:$E,3,FALSE())),1,0),0)</f>
        <v>0</v>
      </c>
      <c r="J591" s="7" t="n">
        <f aca="false">IFERROR(IF($A591&gt;=VLOOKUP($B591,Ref_Acuerdos!$A:$E,3,FALSE()),VLOOKUP($B591,Ref_Acuerdos!$A:$E,4,FALSE()),""),"")</f>
        <v>0</v>
      </c>
      <c r="K591" s="4" t="str">
        <f aca="false">IFERROR(IF($A591&gt;=VLOOKUP($B591,Ref_Acuerdos!$A:$E,3,FALSE()),VLOOKUP($B591,Ref_Acuerdos!$A:$E,5,FALSE()),"Sin FTA/PTA vigente ese año - arancel NMF"),"Sin FTA/PTA identificado - arancel NMF")</f>
        <v>UE-Ecuador Acuerdo Multipartes, vigente desde ene-2017</v>
      </c>
    </row>
    <row r="592" customFormat="false" ht="15" hidden="false" customHeight="false" outlineLevel="0" collapsed="false">
      <c r="A592" s="2" t="n">
        <v>2017</v>
      </c>
      <c r="B592" s="2" t="s">
        <v>74</v>
      </c>
      <c r="C592" s="4" t="str">
        <f aca="false">IFERROR(VLOOKUP($B592,Ref_Continente!$A:$B,2,FALSE()),"Sin clasificar")</f>
        <v>Asia</v>
      </c>
      <c r="D592" s="5" t="n">
        <v>39</v>
      </c>
      <c r="E592" s="6" t="n">
        <v>6</v>
      </c>
      <c r="F592" s="6" t="n">
        <v>14400</v>
      </c>
      <c r="G592" s="5" t="n">
        <v>11480847740.74</v>
      </c>
      <c r="H592" s="4" t="n">
        <f aca="false">IFERROR(IF(AND(VLOOKUP($B592,Ref_Acuerdos!$A:$E,2,FALSE())="FTA",$A592&gt;=VLOOKUP($B592,Ref_Acuerdos!$A:$E,3,FALSE())),1,0),0)</f>
        <v>0</v>
      </c>
      <c r="I592" s="4" t="n">
        <f aca="false">IFERROR(IF(AND(VLOOKUP($B592,Ref_Acuerdos!$A:$E,2,FALSE())="PTA",$A592&gt;=VLOOKUP($B592,Ref_Acuerdos!$A:$E,3,FALSE())),1,0),0)</f>
        <v>0</v>
      </c>
      <c r="J592" s="7" t="str">
        <f aca="false">IFERROR(IF($A592&gt;=VLOOKUP($B592,Ref_Acuerdos!$A:$E,3,FALSE()),VLOOKUP($B592,Ref_Acuerdos!$A:$E,4,FALSE()),""),"")</f>
        <v/>
      </c>
      <c r="K592" s="4" t="str">
        <f aca="false">IFERROR(IF($A592&gt;=VLOOKUP($B592,Ref_Acuerdos!$A:$E,3,FALSE()),VLOOKUP($B592,Ref_Acuerdos!$A:$E,5,FALSE()),"Sin FTA/PTA vigente ese año - arancel NMF"),"Sin FTA/PTA identificado - arancel NMF")</f>
        <v>Sin FTA/PTA identificado - arancel NMF</v>
      </c>
    </row>
    <row r="593" customFormat="false" ht="15" hidden="false" customHeight="false" outlineLevel="0" collapsed="false">
      <c r="A593" s="2" t="n">
        <v>2018</v>
      </c>
      <c r="B593" s="2" t="s">
        <v>96</v>
      </c>
      <c r="C593" s="4" t="str">
        <f aca="false">IFERROR(VLOOKUP($B593,Ref_Continente!$A:$B,2,FALSE()),"Sin clasificar")</f>
        <v>Europe</v>
      </c>
      <c r="D593" s="5" t="n">
        <v>7586482</v>
      </c>
      <c r="E593" s="6" t="n">
        <v>1931190.1</v>
      </c>
      <c r="F593" s="6" t="n">
        <v>12000</v>
      </c>
      <c r="G593" s="5" t="n">
        <v>1657328773461.31</v>
      </c>
      <c r="H593" s="4" t="n">
        <f aca="false">IFERROR(IF(AND(VLOOKUP($B593,Ref_Acuerdos!$A:$E,2,FALSE())="FTA",$A593&gt;=VLOOKUP($B593,Ref_Acuerdos!$A:$E,3,FALSE())),1,0),0)</f>
        <v>0</v>
      </c>
      <c r="I593" s="4" t="n">
        <f aca="false">IFERROR(IF(AND(VLOOKUP($B593,Ref_Acuerdos!$A:$E,2,FALSE())="PTA",$A593&gt;=VLOOKUP($B593,Ref_Acuerdos!$A:$E,3,FALSE())),1,0),0)</f>
        <v>0</v>
      </c>
      <c r="J593" s="7" t="str">
        <f aca="false">IFERROR(IF($A593&gt;=VLOOKUP($B593,Ref_Acuerdos!$A:$E,3,FALSE()),VLOOKUP($B593,Ref_Acuerdos!$A:$E,4,FALSE()),""),"")</f>
        <v/>
      </c>
      <c r="K593" s="4" t="str">
        <f aca="false">IFERROR(IF($A593&gt;=VLOOKUP($B593,Ref_Acuerdos!$A:$E,3,FALSE()),VLOOKUP($B593,Ref_Acuerdos!$A:$E,5,FALSE()),"Sin FTA/PTA vigente ese año - arancel NMF"),"Sin FTA/PTA identificado - arancel NMF")</f>
        <v>Sin FTA/PTA identificado - arancel NMF</v>
      </c>
    </row>
    <row r="594" customFormat="false" ht="15" hidden="false" customHeight="false" outlineLevel="0" collapsed="false">
      <c r="A594" s="2" t="n">
        <v>2018</v>
      </c>
      <c r="B594" s="2" t="s">
        <v>61</v>
      </c>
      <c r="C594" s="4" t="str">
        <f aca="false">IFERROR(VLOOKUP($B594,Ref_Continente!$A:$B,2,FALSE()),"Sin clasificar")</f>
        <v>Asia</v>
      </c>
      <c r="D594" s="5" t="n">
        <v>5384357</v>
      </c>
      <c r="E594" s="6" t="n">
        <v>947108.2</v>
      </c>
      <c r="F594" s="6" t="n">
        <v>14500</v>
      </c>
      <c r="G594" s="5" t="n">
        <v>5040880939324.86</v>
      </c>
      <c r="H594" s="4" t="n">
        <f aca="false">IFERROR(IF(AND(VLOOKUP($B594,Ref_Acuerdos!$A:$E,2,FALSE())="FTA",$A594&gt;=VLOOKUP($B594,Ref_Acuerdos!$A:$E,3,FALSE())),1,0),0)</f>
        <v>0</v>
      </c>
      <c r="I594" s="4" t="n">
        <f aca="false">IFERROR(IF(AND(VLOOKUP($B594,Ref_Acuerdos!$A:$E,2,FALSE())="PTA",$A594&gt;=VLOOKUP($B594,Ref_Acuerdos!$A:$E,3,FALSE())),1,0),0)</f>
        <v>0</v>
      </c>
      <c r="J594" s="7" t="str">
        <f aca="false">IFERROR(IF($A594&gt;=VLOOKUP($B594,Ref_Acuerdos!$A:$E,3,FALSE()),VLOOKUP($B594,Ref_Acuerdos!$A:$E,4,FALSE()),""),"")</f>
        <v/>
      </c>
      <c r="K594" s="4" t="str">
        <f aca="false">IFERROR(IF($A594&gt;=VLOOKUP($B594,Ref_Acuerdos!$A:$E,3,FALSE()),VLOOKUP($B594,Ref_Acuerdos!$A:$E,5,FALSE()),"Sin FTA/PTA vigente ese año - arancel NMF"),"Sin FTA/PTA identificado - arancel NMF")</f>
        <v>Sin FTA/PTA identificado - arancel NMF</v>
      </c>
    </row>
    <row r="595" customFormat="false" ht="15" hidden="false" customHeight="false" outlineLevel="0" collapsed="false">
      <c r="A595" s="2" t="n">
        <v>2018</v>
      </c>
      <c r="B595" s="2" t="s">
        <v>114</v>
      </c>
      <c r="C595" s="4" t="str">
        <f aca="false">IFERROR(VLOOKUP($B595,Ref_Continente!$A:$B,2,FALSE()),"Sin clasificar")</f>
        <v>North America</v>
      </c>
      <c r="D595" s="5" t="n">
        <v>1839027</v>
      </c>
      <c r="E595" s="6" t="n">
        <v>386005.8</v>
      </c>
      <c r="F595" s="6" t="n">
        <v>4550</v>
      </c>
      <c r="G595" s="5" t="n">
        <v>20533057312000</v>
      </c>
      <c r="H595" s="4" t="n">
        <f aca="false">IFERROR(IF(AND(VLOOKUP($B595,Ref_Acuerdos!$A:$E,2,FALSE())="FTA",$A595&gt;=VLOOKUP($B595,Ref_Acuerdos!$A:$E,3,FALSE())),1,0),0)</f>
        <v>0</v>
      </c>
      <c r="I595" s="4" t="n">
        <f aca="false">IFERROR(IF(AND(VLOOKUP($B595,Ref_Acuerdos!$A:$E,2,FALSE())="PTA",$A595&gt;=VLOOKUP($B595,Ref_Acuerdos!$A:$E,3,FALSE())),1,0),0)</f>
        <v>0</v>
      </c>
      <c r="J595" s="7" t="str">
        <f aca="false">IFERROR(IF($A595&gt;=VLOOKUP($B595,Ref_Acuerdos!$A:$E,3,FALSE()),VLOOKUP($B595,Ref_Acuerdos!$A:$E,4,FALSE()),""),"")</f>
        <v/>
      </c>
      <c r="K595" s="4" t="str">
        <f aca="false">IFERROR(IF($A595&gt;=VLOOKUP($B595,Ref_Acuerdos!$A:$E,3,FALSE()),VLOOKUP($B595,Ref_Acuerdos!$A:$E,5,FALSE()),"Sin FTA/PTA vigente ese año - arancel NMF"),"Sin FTA/PTA identificado - arancel NMF")</f>
        <v>Sin FTA/PTA identificado - arancel NMF</v>
      </c>
    </row>
    <row r="596" customFormat="false" ht="15" hidden="false" customHeight="false" outlineLevel="0" collapsed="false">
      <c r="A596" s="2" t="n">
        <v>2018</v>
      </c>
      <c r="B596" s="2" t="s">
        <v>77</v>
      </c>
      <c r="C596" s="4" t="str">
        <f aca="false">IFERROR(VLOOKUP($B596,Ref_Continente!$A:$B,2,FALSE()),"Sin clasificar")</f>
        <v>Europe</v>
      </c>
      <c r="D596" s="5" t="n">
        <v>1231304</v>
      </c>
      <c r="E596" s="6" t="n">
        <v>261250.6</v>
      </c>
      <c r="F596" s="6" t="n">
        <v>9300</v>
      </c>
      <c r="G596" s="5" t="n">
        <v>929733599796.86</v>
      </c>
      <c r="H596" s="4" t="n">
        <f aca="false">IFERROR(IF(AND(VLOOKUP($B596,Ref_Acuerdos!$A:$E,2,FALSE())="FTA",$A596&gt;=VLOOKUP($B596,Ref_Acuerdos!$A:$E,3,FALSE())),1,0),0)</f>
        <v>1</v>
      </c>
      <c r="I596" s="4" t="n">
        <f aca="false">IFERROR(IF(AND(VLOOKUP($B596,Ref_Acuerdos!$A:$E,2,FALSE())="PTA",$A596&gt;=VLOOKUP($B596,Ref_Acuerdos!$A:$E,3,FALSE())),1,0),0)</f>
        <v>0</v>
      </c>
      <c r="J596" s="7" t="n">
        <f aca="false">IFERROR(IF($A596&gt;=VLOOKUP($B596,Ref_Acuerdos!$A:$E,3,FALSE()),VLOOKUP($B596,Ref_Acuerdos!$A:$E,4,FALSE()),""),"")</f>
        <v>0</v>
      </c>
      <c r="K596" s="4" t="str">
        <f aca="false">IFERROR(IF($A596&gt;=VLOOKUP($B596,Ref_Acuerdos!$A:$E,3,FALSE()),VLOOKUP($B596,Ref_Acuerdos!$A:$E,5,FALSE()),"Sin FTA/PTA vigente ese año - arancel NMF"),"Sin FTA/PTA identificado - arancel NMF")</f>
        <v>UE-Ecuador Acuerdo Multipartes, vigente desde ene-2017</v>
      </c>
    </row>
    <row r="597" customFormat="false" ht="15" hidden="false" customHeight="false" outlineLevel="0" collapsed="false">
      <c r="A597" s="2" t="n">
        <v>2018</v>
      </c>
      <c r="B597" s="2" t="s">
        <v>105</v>
      </c>
      <c r="C597" s="4" t="str">
        <f aca="false">IFERROR(VLOOKUP($B597,Ref_Continente!$A:$B,2,FALSE()),"Sin clasificar")</f>
        <v>Europe</v>
      </c>
      <c r="D597" s="5" t="n">
        <v>557040</v>
      </c>
      <c r="E597" s="6" t="n">
        <v>125747.7</v>
      </c>
      <c r="F597" s="6" t="n">
        <v>8700</v>
      </c>
      <c r="G597" s="5" t="n">
        <v>1431642809327.06</v>
      </c>
      <c r="H597" s="4" t="n">
        <f aca="false">IFERROR(IF(AND(VLOOKUP($B597,Ref_Acuerdos!$A:$E,2,FALSE())="FTA",$A597&gt;=VLOOKUP($B597,Ref_Acuerdos!$A:$E,3,FALSE())),1,0),0)</f>
        <v>1</v>
      </c>
      <c r="I597" s="4" t="n">
        <f aca="false">IFERROR(IF(AND(VLOOKUP($B597,Ref_Acuerdos!$A:$E,2,FALSE())="PTA",$A597&gt;=VLOOKUP($B597,Ref_Acuerdos!$A:$E,3,FALSE())),1,0),0)</f>
        <v>0</v>
      </c>
      <c r="J597" s="7" t="n">
        <f aca="false">IFERROR(IF($A597&gt;=VLOOKUP($B597,Ref_Acuerdos!$A:$E,3,FALSE()),VLOOKUP($B597,Ref_Acuerdos!$A:$E,4,FALSE()),""),"")</f>
        <v>0</v>
      </c>
      <c r="K597" s="4" t="str">
        <f aca="false">IFERROR(IF($A597&gt;=VLOOKUP($B597,Ref_Acuerdos!$A:$E,3,FALSE()),VLOOKUP($B597,Ref_Acuerdos!$A:$E,5,FALSE()),"Sin FTA/PTA vigente ese año - arancel NMF"),"Sin FTA/PTA identificado - arancel NMF")</f>
        <v>UE-Ecuador Acuerdo Multipartes, vigente desde ene-2017</v>
      </c>
    </row>
    <row r="598" customFormat="false" ht="15" hidden="false" customHeight="false" outlineLevel="0" collapsed="false">
      <c r="A598" s="2" t="n">
        <v>2018</v>
      </c>
      <c r="B598" s="2" t="s">
        <v>115</v>
      </c>
      <c r="C598" s="4" t="str">
        <f aca="false">IFERROR(VLOOKUP($B598,Ref_Continente!$A:$B,2,FALSE()),"Sin clasificar")</f>
        <v>Europe</v>
      </c>
      <c r="D598" s="5" t="n">
        <v>348684</v>
      </c>
      <c r="E598" s="6" t="n">
        <v>85062.6</v>
      </c>
      <c r="F598" s="6" t="n">
        <v>11</v>
      </c>
      <c r="G598" s="5" t="n">
        <v>130891088293.55</v>
      </c>
      <c r="H598" s="4" t="n">
        <f aca="false">IFERROR(IF(AND(VLOOKUP($B598,Ref_Acuerdos!$A:$E,2,FALSE())="FTA",$A598&gt;=VLOOKUP($B598,Ref_Acuerdos!$A:$E,3,FALSE())),1,0),0)</f>
        <v>0</v>
      </c>
      <c r="I598" s="4" t="n">
        <f aca="false">IFERROR(IF(AND(VLOOKUP($B598,Ref_Acuerdos!$A:$E,2,FALSE())="PTA",$A598&gt;=VLOOKUP($B598,Ref_Acuerdos!$A:$E,3,FALSE())),1,0),0)</f>
        <v>0</v>
      </c>
      <c r="J598" s="7" t="str">
        <f aca="false">IFERROR(IF($A598&gt;=VLOOKUP($B598,Ref_Acuerdos!$A:$E,3,FALSE()),VLOOKUP($B598,Ref_Acuerdos!$A:$E,4,FALSE()),""),"")</f>
        <v/>
      </c>
      <c r="K598" s="4" t="str">
        <f aca="false">IFERROR(IF($A598&gt;=VLOOKUP($B598,Ref_Acuerdos!$A:$E,3,FALSE()),VLOOKUP($B598,Ref_Acuerdos!$A:$E,5,FALSE()),"Sin FTA/PTA vigente ese año - arancel NMF"),"Sin FTA/PTA identificado - arancel NMF")</f>
        <v>Sin FTA/PTA identificado - arancel NMF</v>
      </c>
    </row>
    <row r="599" customFormat="false" ht="15" hidden="false" customHeight="false" outlineLevel="0" collapsed="false">
      <c r="A599" s="2" t="n">
        <v>2018</v>
      </c>
      <c r="B599" s="2" t="s">
        <v>12</v>
      </c>
      <c r="C599" s="4" t="str">
        <f aca="false">IFERROR(VLOOKUP($B599,Ref_Continente!$A:$B,2,FALSE()),"Sin clasificar")</f>
        <v>Oceania</v>
      </c>
      <c r="D599" s="5" t="n">
        <v>266428</v>
      </c>
      <c r="E599" s="6" t="n">
        <v>43721.5</v>
      </c>
      <c r="F599" s="6" t="n">
        <v>14000</v>
      </c>
      <c r="G599" s="5" t="n">
        <v>1433144978761.67</v>
      </c>
      <c r="H599" s="4" t="n">
        <f aca="false">IFERROR(IF(AND(VLOOKUP($B599,Ref_Acuerdos!$A:$E,2,FALSE())="FTA",$A599&gt;=VLOOKUP($B599,Ref_Acuerdos!$A:$E,3,FALSE())),1,0),0)</f>
        <v>0</v>
      </c>
      <c r="I599" s="4" t="n">
        <f aca="false">IFERROR(IF(AND(VLOOKUP($B599,Ref_Acuerdos!$A:$E,2,FALSE())="PTA",$A599&gt;=VLOOKUP($B599,Ref_Acuerdos!$A:$E,3,FALSE())),1,0),0)</f>
        <v>0</v>
      </c>
      <c r="J599" s="7" t="str">
        <f aca="false">IFERROR(IF($A599&gt;=VLOOKUP($B599,Ref_Acuerdos!$A:$E,3,FALSE()),VLOOKUP($B599,Ref_Acuerdos!$A:$E,4,FALSE()),""),"")</f>
        <v/>
      </c>
      <c r="K599" s="4" t="str">
        <f aca="false">IFERROR(IF($A599&gt;=VLOOKUP($B599,Ref_Acuerdos!$A:$E,3,FALSE()),VLOOKUP($B599,Ref_Acuerdos!$A:$E,5,FALSE()),"Sin FTA/PTA vigente ese año - arancel NMF"),"Sin FTA/PTA identificado - arancel NMF")</f>
        <v>Sin FTA/PTA identificado - arancel NMF</v>
      </c>
    </row>
    <row r="600" customFormat="false" ht="15" hidden="false" customHeight="false" outlineLevel="0" collapsed="false">
      <c r="A600" s="2" t="n">
        <v>2018</v>
      </c>
      <c r="B600" s="2" t="s">
        <v>90</v>
      </c>
      <c r="C600" s="4" t="str">
        <f aca="false">IFERROR(VLOOKUP($B600,Ref_Continente!$A:$B,2,FALSE()),"Sin clasificar")</f>
        <v>Europe</v>
      </c>
      <c r="D600" s="5" t="n">
        <v>230804</v>
      </c>
      <c r="E600" s="6" t="n">
        <v>62526.8</v>
      </c>
      <c r="F600" s="6" t="n">
        <v>10300</v>
      </c>
      <c r="G600" s="5" t="n">
        <v>594616687350.02</v>
      </c>
      <c r="H600" s="4" t="n">
        <f aca="false">IFERROR(IF(AND(VLOOKUP($B600,Ref_Acuerdos!$A:$E,2,FALSE())="FTA",$A600&gt;=VLOOKUP($B600,Ref_Acuerdos!$A:$E,3,FALSE())),1,0),0)</f>
        <v>1</v>
      </c>
      <c r="I600" s="4" t="n">
        <f aca="false">IFERROR(IF(AND(VLOOKUP($B600,Ref_Acuerdos!$A:$E,2,FALSE())="PTA",$A600&gt;=VLOOKUP($B600,Ref_Acuerdos!$A:$E,3,FALSE())),1,0),0)</f>
        <v>0</v>
      </c>
      <c r="J600" s="7" t="n">
        <f aca="false">IFERROR(IF($A600&gt;=VLOOKUP($B600,Ref_Acuerdos!$A:$E,3,FALSE()),VLOOKUP($B600,Ref_Acuerdos!$A:$E,4,FALSE()),""),"")</f>
        <v>0</v>
      </c>
      <c r="K600" s="4" t="str">
        <f aca="false">IFERROR(IF($A600&gt;=VLOOKUP($B600,Ref_Acuerdos!$A:$E,3,FALSE()),VLOOKUP($B600,Ref_Acuerdos!$A:$E,5,FALSE()),"Sin FTA/PTA vigente ese año - arancel NMF"),"Sin FTA/PTA identificado - arancel NMF")</f>
        <v>UE-Ecuador Acuerdo Multipartes, vigente desde ene-2017</v>
      </c>
    </row>
    <row r="601" customFormat="false" ht="15" hidden="false" customHeight="false" outlineLevel="0" collapsed="false">
      <c r="A601" s="2" t="n">
        <v>2018</v>
      </c>
      <c r="B601" s="2" t="s">
        <v>63</v>
      </c>
      <c r="C601" s="4" t="str">
        <f aca="false">IFERROR(VLOOKUP($B601,Ref_Continente!$A:$B,2,FALSE()),"Sin clasificar")</f>
        <v>Asia</v>
      </c>
      <c r="D601" s="5" t="n">
        <v>192175</v>
      </c>
      <c r="E601" s="6" t="n">
        <v>51781.4</v>
      </c>
      <c r="F601" s="6" t="n">
        <v>13600</v>
      </c>
      <c r="G601" s="5" t="n">
        <v>179339977690.49</v>
      </c>
      <c r="H601" s="4" t="n">
        <f aca="false">IFERROR(IF(AND(VLOOKUP($B601,Ref_Acuerdos!$A:$E,2,FALSE())="FTA",$A601&gt;=VLOOKUP($B601,Ref_Acuerdos!$A:$E,3,FALSE())),1,0),0)</f>
        <v>0</v>
      </c>
      <c r="I601" s="4" t="n">
        <f aca="false">IFERROR(IF(AND(VLOOKUP($B601,Ref_Acuerdos!$A:$E,2,FALSE())="PTA",$A601&gt;=VLOOKUP($B601,Ref_Acuerdos!$A:$E,3,FALSE())),1,0),0)</f>
        <v>0</v>
      </c>
      <c r="J601" s="7" t="str">
        <f aca="false">IFERROR(IF($A601&gt;=VLOOKUP($B601,Ref_Acuerdos!$A:$E,3,FALSE()),VLOOKUP($B601,Ref_Acuerdos!$A:$E,4,FALSE()),""),"")</f>
        <v/>
      </c>
      <c r="K601" s="4" t="str">
        <f aca="false">IFERROR(IF($A601&gt;=VLOOKUP($B601,Ref_Acuerdos!$A:$E,3,FALSE()),VLOOKUP($B601,Ref_Acuerdos!$A:$E,5,FALSE()),"Sin FTA/PTA vigente ese año - arancel NMF"),"Sin FTA/PTA identificado - arancel NMF")</f>
        <v>Sin FTA/PTA identificado - arancel NMF</v>
      </c>
    </row>
    <row r="602" customFormat="false" ht="15" hidden="false" customHeight="false" outlineLevel="0" collapsed="false">
      <c r="A602" s="2" t="n">
        <v>2018</v>
      </c>
      <c r="B602" s="2" t="s">
        <v>26</v>
      </c>
      <c r="C602" s="4" t="str">
        <f aca="false">IFERROR(VLOOKUP($B602,Ref_Continente!$A:$B,2,FALSE()),"Sin clasificar")</f>
        <v>South America</v>
      </c>
      <c r="D602" s="5" t="n">
        <v>164209</v>
      </c>
      <c r="E602" s="6" t="n">
        <v>49309.5</v>
      </c>
      <c r="F602" s="6" t="n">
        <v>2600</v>
      </c>
      <c r="G602" s="5" t="n">
        <v>295857562991.71</v>
      </c>
      <c r="H602" s="4" t="n">
        <f aca="false">IFERROR(IF(AND(VLOOKUP($B602,Ref_Acuerdos!$A:$E,2,FALSE())="FTA",$A602&gt;=VLOOKUP($B602,Ref_Acuerdos!$A:$E,3,FALSE())),1,0),0)</f>
        <v>1</v>
      </c>
      <c r="I602" s="4" t="n">
        <f aca="false">IFERROR(IF(AND(VLOOKUP($B602,Ref_Acuerdos!$A:$E,2,FALSE())="PTA",$A602&gt;=VLOOKUP($B602,Ref_Acuerdos!$A:$E,3,FALSE())),1,0),0)</f>
        <v>0</v>
      </c>
      <c r="J602" s="7" t="n">
        <f aca="false">IFERROR(IF($A602&gt;=VLOOKUP($B602,Ref_Acuerdos!$A:$E,3,FALSE()),VLOOKUP($B602,Ref_Acuerdos!$A:$E,4,FALSE()),""),"")</f>
        <v>0</v>
      </c>
      <c r="K602" s="4" t="str">
        <f aca="false">IFERROR(IF($A602&gt;=VLOOKUP($B602,Ref_Acuerdos!$A:$E,3,FALSE()),VLOOKUP($B602,Ref_Acuerdos!$A:$E,5,FALSE()),"Sin FTA/PTA vigente ese año - arancel NMF"),"Sin FTA/PTA identificado - arancel NMF")</f>
        <v>Ecuador-Chile ACE 65, vigente desde 2010</v>
      </c>
    </row>
    <row r="603" customFormat="false" ht="15" hidden="false" customHeight="false" outlineLevel="0" collapsed="false">
      <c r="A603" s="2" t="n">
        <v>2018</v>
      </c>
      <c r="B603" s="2" t="s">
        <v>88</v>
      </c>
      <c r="C603" s="4" t="str">
        <f aca="false">IFERROR(VLOOKUP($B603,Ref_Continente!$A:$B,2,FALSE()),"Sin clasificar")</f>
        <v>South America</v>
      </c>
      <c r="D603" s="5" t="n">
        <v>134608</v>
      </c>
      <c r="E603" s="6" t="n">
        <v>59702.7</v>
      </c>
      <c r="F603" s="6" t="n">
        <v>1320</v>
      </c>
      <c r="G603" s="5" t="n">
        <v>222597009739.24</v>
      </c>
      <c r="H603" s="4" t="n">
        <f aca="false">IFERROR(IF(AND(VLOOKUP($B603,Ref_Acuerdos!$A:$E,2,FALSE())="FTA",$A603&gt;=VLOOKUP($B603,Ref_Acuerdos!$A:$E,3,FALSE())),1,0),0)</f>
        <v>0</v>
      </c>
      <c r="I603" s="4" t="n">
        <f aca="false">IFERROR(IF(AND(VLOOKUP($B603,Ref_Acuerdos!$A:$E,2,FALSE())="PTA",$A603&gt;=VLOOKUP($B603,Ref_Acuerdos!$A:$E,3,FALSE())),1,0),0)</f>
        <v>1</v>
      </c>
      <c r="J603" s="7" t="n">
        <f aca="false">IFERROR(IF($A603&gt;=VLOOKUP($B603,Ref_Acuerdos!$A:$E,3,FALSE()),VLOOKUP($B603,Ref_Acuerdos!$A:$E,4,FALSE()),""),"")</f>
        <v>0</v>
      </c>
      <c r="K603" s="4" t="str">
        <f aca="false">IFERROR(IF($A603&gt;=VLOOKUP($B603,Ref_Acuerdos!$A:$E,3,FALSE()),VLOOKUP($B603,Ref_Acuerdos!$A:$E,5,FALSE()),"Sin FTA/PTA vigente ese año - arancel NMF"),"Sin FTA/PTA identificado - arancel NMF")</f>
        <v>Comunidad Andina (CAN) - libre comercio intracomunitario</v>
      </c>
    </row>
    <row r="604" customFormat="false" ht="15" hidden="false" customHeight="false" outlineLevel="0" collapsed="false">
      <c r="A604" s="2" t="n">
        <v>2018</v>
      </c>
      <c r="B604" s="2" t="s">
        <v>6</v>
      </c>
      <c r="C604" s="4" t="str">
        <f aca="false">IFERROR(VLOOKUP($B604,Ref_Continente!$A:$B,2,FALSE()),"Sin clasificar")</f>
        <v>South America</v>
      </c>
      <c r="D604" s="5" t="n">
        <v>125941</v>
      </c>
      <c r="E604" s="6" t="n">
        <v>36430.8</v>
      </c>
      <c r="F604" s="6" t="n">
        <v>4320</v>
      </c>
      <c r="G604" s="5" t="n">
        <v>524819892360.18</v>
      </c>
      <c r="H604" s="4" t="n">
        <f aca="false">IFERROR(IF(AND(VLOOKUP($B604,Ref_Acuerdos!$A:$E,2,FALSE())="FTA",$A604&gt;=VLOOKUP($B604,Ref_Acuerdos!$A:$E,3,FALSE())),1,0),0)</f>
        <v>0</v>
      </c>
      <c r="I604" s="4" t="n">
        <f aca="false">IFERROR(IF(AND(VLOOKUP($B604,Ref_Acuerdos!$A:$E,2,FALSE())="PTA",$A604&gt;=VLOOKUP($B604,Ref_Acuerdos!$A:$E,3,FALSE())),1,0),0)</f>
        <v>1</v>
      </c>
      <c r="J604" s="7" t="n">
        <f aca="false">IFERROR(IF($A604&gt;=VLOOKUP($B604,Ref_Acuerdos!$A:$E,3,FALSE()),VLOOKUP($B604,Ref_Acuerdos!$A:$E,4,FALSE()),""),"")</f>
        <v>5</v>
      </c>
      <c r="K604" s="4" t="str">
        <f aca="false">IFERROR(IF($A604&gt;=VLOOKUP($B604,Ref_Acuerdos!$A:$E,3,FALSE()),VLOOKUP($B604,Ref_Acuerdos!$A:$E,5,FALSE()),"Sin FTA/PTA vigente ese año - arancel NMF"),"Sin FTA/PTA identificado - arancel NMF")</f>
        <v>Ecuador-Mercosur ACE 59 - preferencias parciales (tarifa referencial)</v>
      </c>
    </row>
    <row r="605" customFormat="false" ht="15" hidden="false" customHeight="false" outlineLevel="0" collapsed="false">
      <c r="A605" s="2" t="n">
        <v>2018</v>
      </c>
      <c r="B605" s="2" t="s">
        <v>118</v>
      </c>
      <c r="C605" s="4" t="str">
        <f aca="false">IFERROR(VLOOKUP($B605,Ref_Continente!$A:$B,2,FALSE()),"Sin clasificar")</f>
        <v>South America</v>
      </c>
      <c r="D605" s="5" t="n">
        <v>117933</v>
      </c>
      <c r="E605" s="6" t="n">
        <v>26408.8</v>
      </c>
      <c r="F605" s="6" t="n">
        <v>4650</v>
      </c>
      <c r="G605" s="5" t="n">
        <v>65344577415.75</v>
      </c>
      <c r="H605" s="4" t="n">
        <f aca="false">IFERROR(IF(AND(VLOOKUP($B605,Ref_Acuerdos!$A:$E,2,FALSE())="FTA",$A605&gt;=VLOOKUP($B605,Ref_Acuerdos!$A:$E,3,FALSE())),1,0),0)</f>
        <v>0</v>
      </c>
      <c r="I605" s="4" t="n">
        <f aca="false">IFERROR(IF(AND(VLOOKUP($B605,Ref_Acuerdos!$A:$E,2,FALSE())="PTA",$A605&gt;=VLOOKUP($B605,Ref_Acuerdos!$A:$E,3,FALSE())),1,0),0)</f>
        <v>1</v>
      </c>
      <c r="J605" s="7" t="n">
        <f aca="false">IFERROR(IF($A605&gt;=VLOOKUP($B605,Ref_Acuerdos!$A:$E,3,FALSE()),VLOOKUP($B605,Ref_Acuerdos!$A:$E,4,FALSE()),""),"")</f>
        <v>5</v>
      </c>
      <c r="K605" s="4" t="str">
        <f aca="false">IFERROR(IF($A605&gt;=VLOOKUP($B605,Ref_Acuerdos!$A:$E,3,FALSE()),VLOOKUP($B605,Ref_Acuerdos!$A:$E,5,FALSE()),"Sin FTA/PTA vigente ese año - arancel NMF"),"Sin FTA/PTA identificado - arancel NMF")</f>
        <v>Ecuador-Mercosur ACE 59 - preferencias parciales (tarifa referencial)</v>
      </c>
    </row>
    <row r="606" customFormat="false" ht="15" hidden="false" customHeight="false" outlineLevel="0" collapsed="false">
      <c r="A606" s="2" t="n">
        <v>2018</v>
      </c>
      <c r="B606" s="2" t="s">
        <v>59</v>
      </c>
      <c r="C606" s="4" t="str">
        <f aca="false">IFERROR(VLOOKUP($B606,Ref_Continente!$A:$B,2,FALSE()),"Sin clasificar")</f>
        <v>Europe</v>
      </c>
      <c r="D606" s="5" t="n">
        <v>83990</v>
      </c>
      <c r="E606" s="6" t="n">
        <v>17201.7</v>
      </c>
      <c r="F606" s="6" t="n">
        <v>10100</v>
      </c>
      <c r="G606" s="5" t="n">
        <v>2099435266458.67</v>
      </c>
      <c r="H606" s="4" t="n">
        <f aca="false">IFERROR(IF(AND(VLOOKUP($B606,Ref_Acuerdos!$A:$E,2,FALSE())="FTA",$A606&gt;=VLOOKUP($B606,Ref_Acuerdos!$A:$E,3,FALSE())),1,0),0)</f>
        <v>1</v>
      </c>
      <c r="I606" s="4" t="n">
        <f aca="false">IFERROR(IF(AND(VLOOKUP($B606,Ref_Acuerdos!$A:$E,2,FALSE())="PTA",$A606&gt;=VLOOKUP($B606,Ref_Acuerdos!$A:$E,3,FALSE())),1,0),0)</f>
        <v>0</v>
      </c>
      <c r="J606" s="7" t="n">
        <f aca="false">IFERROR(IF($A606&gt;=VLOOKUP($B606,Ref_Acuerdos!$A:$E,3,FALSE()),VLOOKUP($B606,Ref_Acuerdos!$A:$E,4,FALSE()),""),"")</f>
        <v>0</v>
      </c>
      <c r="K606" s="4" t="str">
        <f aca="false">IFERROR(IF($A606&gt;=VLOOKUP($B606,Ref_Acuerdos!$A:$E,3,FALSE()),VLOOKUP($B606,Ref_Acuerdos!$A:$E,5,FALSE()),"Sin FTA/PTA vigente ese año - arancel NMF"),"Sin FTA/PTA identificado - arancel NMF")</f>
        <v>UE-Ecuador Acuerdo Multipartes, vigente desde ene-2017</v>
      </c>
    </row>
    <row r="607" customFormat="false" ht="15" hidden="false" customHeight="false" outlineLevel="0" collapsed="false">
      <c r="A607" s="2" t="n">
        <v>2018</v>
      </c>
      <c r="B607" s="2" t="s">
        <v>66</v>
      </c>
      <c r="C607" s="4" t="str">
        <f aca="false">IFERROR(VLOOKUP($B607,Ref_Continente!$A:$B,2,FALSE()),"Sin clasificar")</f>
        <v>Europe</v>
      </c>
      <c r="D607" s="5" t="n">
        <v>70464</v>
      </c>
      <c r="E607" s="6" t="n">
        <v>17608.7</v>
      </c>
      <c r="F607" s="6" t="n">
        <v>10400</v>
      </c>
      <c r="G607" s="5" t="n">
        <v>33247935477.36</v>
      </c>
      <c r="H607" s="4" t="n">
        <f aca="false">IFERROR(IF(AND(VLOOKUP($B607,Ref_Acuerdos!$A:$E,2,FALSE())="FTA",$A607&gt;=VLOOKUP($B607,Ref_Acuerdos!$A:$E,3,FALSE())),1,0),0)</f>
        <v>1</v>
      </c>
      <c r="I607" s="4" t="n">
        <f aca="false">IFERROR(IF(AND(VLOOKUP($B607,Ref_Acuerdos!$A:$E,2,FALSE())="PTA",$A607&gt;=VLOOKUP($B607,Ref_Acuerdos!$A:$E,3,FALSE())),1,0),0)</f>
        <v>0</v>
      </c>
      <c r="J607" s="7" t="n">
        <f aca="false">IFERROR(IF($A607&gt;=VLOOKUP($B607,Ref_Acuerdos!$A:$E,3,FALSE()),VLOOKUP($B607,Ref_Acuerdos!$A:$E,4,FALSE()),""),"")</f>
        <v>0</v>
      </c>
      <c r="K607" s="4" t="str">
        <f aca="false">IFERROR(IF($A607&gt;=VLOOKUP($B607,Ref_Acuerdos!$A:$E,3,FALSE()),VLOOKUP($B607,Ref_Acuerdos!$A:$E,5,FALSE()),"Sin FTA/PTA vigente ese año - arancel NMF"),"Sin FTA/PTA identificado - arancel NMF")</f>
        <v>UE-Ecuador Acuerdo Multipartes, vigente desde ene-2017</v>
      </c>
    </row>
    <row r="608" customFormat="false" ht="15" hidden="false" customHeight="false" outlineLevel="0" collapsed="false">
      <c r="A608" s="2" t="n">
        <v>2018</v>
      </c>
      <c r="B608" s="2" t="s">
        <v>37</v>
      </c>
      <c r="C608" s="4" t="str">
        <f aca="false">IFERROR(VLOOKUP($B608,Ref_Continente!$A:$B,2,FALSE()),"Sin clasificar")</f>
        <v>North America</v>
      </c>
      <c r="D608" s="5" t="n">
        <v>70009</v>
      </c>
      <c r="E608" s="6" t="n">
        <v>20594.9</v>
      </c>
      <c r="F608" s="6" t="n">
        <v>2200</v>
      </c>
      <c r="G608" s="5" t="n">
        <v>84994732049.35</v>
      </c>
      <c r="H608" s="4" t="n">
        <f aca="false">IFERROR(IF(AND(VLOOKUP($B608,Ref_Acuerdos!$A:$E,2,FALSE())="FTA",$A608&gt;=VLOOKUP($B608,Ref_Acuerdos!$A:$E,3,FALSE())),1,0),0)</f>
        <v>0</v>
      </c>
      <c r="I608" s="4" t="n">
        <f aca="false">IFERROR(IF(AND(VLOOKUP($B608,Ref_Acuerdos!$A:$E,2,FALSE())="PTA",$A608&gt;=VLOOKUP($B608,Ref_Acuerdos!$A:$E,3,FALSE())),1,0),0)</f>
        <v>0</v>
      </c>
      <c r="J608" s="7" t="str">
        <f aca="false">IFERROR(IF($A608&gt;=VLOOKUP($B608,Ref_Acuerdos!$A:$E,3,FALSE()),VLOOKUP($B608,Ref_Acuerdos!$A:$E,4,FALSE()),""),"")</f>
        <v/>
      </c>
      <c r="K608" s="4" t="str">
        <f aca="false">IFERROR(IF($A608&gt;=VLOOKUP($B608,Ref_Acuerdos!$A:$E,3,FALSE()),VLOOKUP($B608,Ref_Acuerdos!$A:$E,5,FALSE()),"Sin FTA/PTA vigente ese año - arancel NMF"),"Sin FTA/PTA identificado - arancel NMF")</f>
        <v>Sin FTA/PTA identificado - arancel NMF</v>
      </c>
    </row>
    <row r="609" customFormat="false" ht="15" hidden="false" customHeight="false" outlineLevel="0" collapsed="false">
      <c r="A609" s="2" t="n">
        <v>2018</v>
      </c>
      <c r="B609" s="2" t="s">
        <v>80</v>
      </c>
      <c r="C609" s="4" t="str">
        <f aca="false">IFERROR(VLOOKUP($B609,Ref_Continente!$A:$B,2,FALSE()),"Sin clasificar")</f>
        <v>North America</v>
      </c>
      <c r="D609" s="5" t="n">
        <v>66506</v>
      </c>
      <c r="E609" s="6" t="n">
        <v>10457.4</v>
      </c>
      <c r="F609" s="6" t="n">
        <v>1730</v>
      </c>
      <c r="G609" s="5" t="n">
        <v>13025221974.23</v>
      </c>
      <c r="H609" s="4" t="n">
        <f aca="false">IFERROR(IF(AND(VLOOKUP($B609,Ref_Acuerdos!$A:$E,2,FALSE())="FTA",$A609&gt;=VLOOKUP($B609,Ref_Acuerdos!$A:$E,3,FALSE())),1,0),0)</f>
        <v>0</v>
      </c>
      <c r="I609" s="4" t="n">
        <f aca="false">IFERROR(IF(AND(VLOOKUP($B609,Ref_Acuerdos!$A:$E,2,FALSE())="PTA",$A609&gt;=VLOOKUP($B609,Ref_Acuerdos!$A:$E,3,FALSE())),1,0),0)</f>
        <v>1</v>
      </c>
      <c r="J609" s="7" t="n">
        <f aca="false">IFERROR(IF($A609&gt;=VLOOKUP($B609,Ref_Acuerdos!$A:$E,3,FALSE()),VLOOKUP($B609,Ref_Acuerdos!$A:$E,4,FALSE()),""),"")</f>
        <v>10</v>
      </c>
      <c r="K609" s="4" t="str">
        <f aca="false">IFERROR(IF($A609&gt;=VLOOKUP($B609,Ref_Acuerdos!$A:$E,3,FALSE()),VLOOKUP($B609,Ref_Acuerdos!$A:$E,5,FALSE()),"Sin FTA/PTA vigente ese año - arancel NMF"),"Sin FTA/PTA identificado - arancel NMF")</f>
        <v>ALADI - Acuerdo de Alcance Parcial (preferencia limitada, tarifa referencial)</v>
      </c>
    </row>
    <row r="610" customFormat="false" ht="15" hidden="false" customHeight="false" outlineLevel="0" collapsed="false">
      <c r="A610" s="2" t="n">
        <v>2018</v>
      </c>
      <c r="B610" s="2" t="s">
        <v>19</v>
      </c>
      <c r="C610" s="4" t="str">
        <f aca="false">IFERROR(VLOOKUP($B610,Ref_Continente!$A:$B,2,FALSE()),"Sin clasificar")</f>
        <v>Europe</v>
      </c>
      <c r="D610" s="5" t="n">
        <v>62834</v>
      </c>
      <c r="E610" s="6" t="n">
        <v>15854.3</v>
      </c>
      <c r="F610" s="6" t="n">
        <v>10600</v>
      </c>
      <c r="G610" s="5" t="n">
        <v>60031026576.26</v>
      </c>
      <c r="H610" s="4" t="n">
        <f aca="false">IFERROR(IF(AND(VLOOKUP($B610,Ref_Acuerdos!$A:$E,2,FALSE())="FTA",$A610&gt;=VLOOKUP($B610,Ref_Acuerdos!$A:$E,3,FALSE())),1,0),0)</f>
        <v>0</v>
      </c>
      <c r="I610" s="4" t="n">
        <f aca="false">IFERROR(IF(AND(VLOOKUP($B610,Ref_Acuerdos!$A:$E,2,FALSE())="PTA",$A610&gt;=VLOOKUP($B610,Ref_Acuerdos!$A:$E,3,FALSE())),1,0),0)</f>
        <v>0</v>
      </c>
      <c r="J610" s="7" t="str">
        <f aca="false">IFERROR(IF($A610&gt;=VLOOKUP($B610,Ref_Acuerdos!$A:$E,3,FALSE()),VLOOKUP($B610,Ref_Acuerdos!$A:$E,4,FALSE()),""),"")</f>
        <v/>
      </c>
      <c r="K610" s="4" t="str">
        <f aca="false">IFERROR(IF($A610&gt;=VLOOKUP($B610,Ref_Acuerdos!$A:$E,3,FALSE()),VLOOKUP($B610,Ref_Acuerdos!$A:$E,5,FALSE()),"Sin FTA/PTA vigente ese año - arancel NMF"),"Sin FTA/PTA identificado - arancel NMF")</f>
        <v>Sin FTA/PTA identificado - arancel NMF</v>
      </c>
    </row>
    <row r="611" customFormat="false" ht="15" hidden="false" customHeight="false" outlineLevel="0" collapsed="false">
      <c r="A611" s="2" t="n">
        <v>2018</v>
      </c>
      <c r="B611" s="2" t="s">
        <v>25</v>
      </c>
      <c r="C611" s="4" t="str">
        <f aca="false">IFERROR(VLOOKUP($B611,Ref_Continente!$A:$B,2,FALSE()),"Sin clasificar")</f>
        <v>North America</v>
      </c>
      <c r="D611" s="5" t="n">
        <v>54886</v>
      </c>
      <c r="E611" s="6" t="n">
        <v>10818.1</v>
      </c>
      <c r="F611" s="6" t="n">
        <v>5900</v>
      </c>
      <c r="G611" s="5" t="n">
        <v>1725329192783.02</v>
      </c>
      <c r="H611" s="4" t="n">
        <f aca="false">IFERROR(IF(AND(VLOOKUP($B611,Ref_Acuerdos!$A:$E,2,FALSE())="FTA",$A611&gt;=VLOOKUP($B611,Ref_Acuerdos!$A:$E,3,FALSE())),1,0),0)</f>
        <v>0</v>
      </c>
      <c r="I611" s="4" t="n">
        <f aca="false">IFERROR(IF(AND(VLOOKUP($B611,Ref_Acuerdos!$A:$E,2,FALSE())="PTA",$A611&gt;=VLOOKUP($B611,Ref_Acuerdos!$A:$E,3,FALSE())),1,0),0)</f>
        <v>0</v>
      </c>
      <c r="J611" s="7" t="str">
        <f aca="false">IFERROR(IF($A611&gt;=VLOOKUP($B611,Ref_Acuerdos!$A:$E,3,FALSE()),VLOOKUP($B611,Ref_Acuerdos!$A:$E,4,FALSE()),""),"")</f>
        <v/>
      </c>
      <c r="K611" s="4" t="str">
        <f aca="false">IFERROR(IF($A611&gt;=VLOOKUP($B611,Ref_Acuerdos!$A:$E,3,FALSE()),VLOOKUP($B611,Ref_Acuerdos!$A:$E,5,FALSE()),"Sin FTA/PTA vigente ese año - arancel NMF"),"Sin FTA/PTA identificado - arancel NMF")</f>
        <v>Sin FTA/PTA identificado - arancel NMF</v>
      </c>
    </row>
    <row r="612" customFormat="false" ht="15" hidden="false" customHeight="false" outlineLevel="0" collapsed="false">
      <c r="A612" s="2" t="n">
        <v>2018</v>
      </c>
      <c r="B612" s="2" t="s">
        <v>87</v>
      </c>
      <c r="C612" s="4" t="str">
        <f aca="false">IFERROR(VLOOKUP($B612,Ref_Continente!$A:$B,2,FALSE()),"Sin clasificar")</f>
        <v>South America</v>
      </c>
      <c r="D612" s="5" t="n">
        <v>54492</v>
      </c>
      <c r="E612" s="6" t="n">
        <v>15873.9</v>
      </c>
      <c r="F612" s="6" t="n">
        <v>3600</v>
      </c>
      <c r="G612" s="5" t="n">
        <v>40225448340.63</v>
      </c>
      <c r="H612" s="4" t="n">
        <f aca="false">IFERROR(IF(AND(VLOOKUP($B612,Ref_Acuerdos!$A:$E,2,FALSE())="FTA",$A612&gt;=VLOOKUP($B612,Ref_Acuerdos!$A:$E,3,FALSE())),1,0),0)</f>
        <v>0</v>
      </c>
      <c r="I612" s="4" t="n">
        <f aca="false">IFERROR(IF(AND(VLOOKUP($B612,Ref_Acuerdos!$A:$E,2,FALSE())="PTA",$A612&gt;=VLOOKUP($B612,Ref_Acuerdos!$A:$E,3,FALSE())),1,0),0)</f>
        <v>1</v>
      </c>
      <c r="J612" s="7" t="n">
        <f aca="false">IFERROR(IF($A612&gt;=VLOOKUP($B612,Ref_Acuerdos!$A:$E,3,FALSE()),VLOOKUP($B612,Ref_Acuerdos!$A:$E,4,FALSE()),""),"")</f>
        <v>5</v>
      </c>
      <c r="K612" s="4" t="str">
        <f aca="false">IFERROR(IF($A612&gt;=VLOOKUP($B612,Ref_Acuerdos!$A:$E,3,FALSE()),VLOOKUP($B612,Ref_Acuerdos!$A:$E,5,FALSE()),"Sin FTA/PTA vigente ese año - arancel NMF"),"Sin FTA/PTA identificado - arancel NMF")</f>
        <v>Ecuador-Mercosur ACE 59 - preferencias parciales (tarifa referencial)</v>
      </c>
    </row>
    <row r="613" customFormat="false" ht="15" hidden="false" customHeight="false" outlineLevel="0" collapsed="false">
      <c r="A613" s="2" t="n">
        <v>2018</v>
      </c>
      <c r="B613" s="2" t="s">
        <v>32</v>
      </c>
      <c r="C613" s="4" t="str">
        <f aca="false">IFERROR(VLOOKUP($B613,Ref_Continente!$A:$B,2,FALSE()),"Sin clasificar")</f>
        <v>North America</v>
      </c>
      <c r="D613" s="5" t="n">
        <v>40824</v>
      </c>
      <c r="E613" s="6" t="n">
        <v>8107.6</v>
      </c>
      <c r="F613" s="6" t="n">
        <v>2450</v>
      </c>
      <c r="G613" s="5" t="n">
        <v>100050036100</v>
      </c>
      <c r="H613" s="4" t="n">
        <f aca="false">IFERROR(IF(AND(VLOOKUP($B613,Ref_Acuerdos!$A:$E,2,FALSE())="FTA",$A613&gt;=VLOOKUP($B613,Ref_Acuerdos!$A:$E,3,FALSE())),1,0),0)</f>
        <v>0</v>
      </c>
      <c r="I613" s="4" t="n">
        <f aca="false">IFERROR(IF(AND(VLOOKUP($B613,Ref_Acuerdos!$A:$E,2,FALSE())="PTA",$A613&gt;=VLOOKUP($B613,Ref_Acuerdos!$A:$E,3,FALSE())),1,0),0)</f>
        <v>1</v>
      </c>
      <c r="J613" s="7" t="n">
        <f aca="false">IFERROR(IF($A613&gt;=VLOOKUP($B613,Ref_Acuerdos!$A:$E,3,FALSE()),VLOOKUP($B613,Ref_Acuerdos!$A:$E,4,FALSE()),""),"")</f>
        <v>10</v>
      </c>
      <c r="K613" s="4" t="str">
        <f aca="false">IFERROR(IF($A613&gt;=VLOOKUP($B613,Ref_Acuerdos!$A:$E,3,FALSE()),VLOOKUP($B613,Ref_Acuerdos!$A:$E,5,FALSE()),"Sin FTA/PTA vigente ese año - arancel NMF"),"Sin FTA/PTA identificado - arancel NMF")</f>
        <v>ALADI - Acuerdo de Alcance Parcial (preferencia limitada, tarifa referencial)</v>
      </c>
    </row>
    <row r="614" customFormat="false" ht="15" hidden="false" customHeight="false" outlineLevel="0" collapsed="false">
      <c r="A614" s="2" t="n">
        <v>2018</v>
      </c>
      <c r="B614" s="2" t="s">
        <v>94</v>
      </c>
      <c r="C614" s="4" t="str">
        <f aca="false">IFERROR(VLOOKUP($B614,Ref_Continente!$A:$B,2,FALSE()),"Sin clasificar")</f>
        <v>Europe</v>
      </c>
      <c r="D614" s="5" t="n">
        <v>32849</v>
      </c>
      <c r="E614" s="6" t="n">
        <v>7332</v>
      </c>
      <c r="F614" s="6" t="n">
        <v>11000</v>
      </c>
      <c r="G614" s="5" t="n">
        <v>11252353420.88</v>
      </c>
      <c r="H614" s="4" t="n">
        <f aca="false">IFERROR(IF(AND(VLOOKUP($B614,Ref_Acuerdos!$A:$E,2,FALSE())="FTA",$A614&gt;=VLOOKUP($B614,Ref_Acuerdos!$A:$E,3,FALSE())),1,0),0)</f>
        <v>0</v>
      </c>
      <c r="I614" s="4" t="n">
        <f aca="false">IFERROR(IF(AND(VLOOKUP($B614,Ref_Acuerdos!$A:$E,2,FALSE())="PTA",$A614&gt;=VLOOKUP($B614,Ref_Acuerdos!$A:$E,3,FALSE())),1,0),0)</f>
        <v>0</v>
      </c>
      <c r="J614" s="7" t="str">
        <f aca="false">IFERROR(IF($A614&gt;=VLOOKUP($B614,Ref_Acuerdos!$A:$E,3,FALSE()),VLOOKUP($B614,Ref_Acuerdos!$A:$E,4,FALSE()),""),"")</f>
        <v/>
      </c>
      <c r="K614" s="4" t="str">
        <f aca="false">IFERROR(IF($A614&gt;=VLOOKUP($B614,Ref_Acuerdos!$A:$E,3,FALSE()),VLOOKUP($B614,Ref_Acuerdos!$A:$E,5,FALSE()),"Sin FTA/PTA vigente ese año - arancel NMF"),"Sin FTA/PTA identificado - arancel NMF")</f>
        <v>Sin FTA/PTA identificado - arancel NMF</v>
      </c>
    </row>
    <row r="615" customFormat="false" ht="15" hidden="false" customHeight="false" outlineLevel="0" collapsed="false">
      <c r="A615" s="2" t="n">
        <v>2018</v>
      </c>
      <c r="B615" s="2" t="s">
        <v>86</v>
      </c>
      <c r="C615" s="4" t="str">
        <f aca="false">IFERROR(VLOOKUP($B615,Ref_Continente!$A:$B,2,FALSE()),"Sin clasificar")</f>
        <v>North America</v>
      </c>
      <c r="D615" s="5" t="n">
        <v>32126</v>
      </c>
      <c r="E615" s="6" t="n">
        <v>9074.4</v>
      </c>
      <c r="F615" s="6" t="n">
        <v>1020</v>
      </c>
      <c r="G615" s="5" t="n">
        <v>67316471181.25</v>
      </c>
      <c r="H615" s="4" t="n">
        <f aca="false">IFERROR(IF(AND(VLOOKUP($B615,Ref_Acuerdos!$A:$E,2,FALSE())="FTA",$A615&gt;=VLOOKUP($B615,Ref_Acuerdos!$A:$E,3,FALSE())),1,0),0)</f>
        <v>0</v>
      </c>
      <c r="I615" s="4" t="n">
        <f aca="false">IFERROR(IF(AND(VLOOKUP($B615,Ref_Acuerdos!$A:$E,2,FALSE())="PTA",$A615&gt;=VLOOKUP($B615,Ref_Acuerdos!$A:$E,3,FALSE())),1,0),0)</f>
        <v>1</v>
      </c>
      <c r="J615" s="7" t="n">
        <f aca="false">IFERROR(IF($A615&gt;=VLOOKUP($B615,Ref_Acuerdos!$A:$E,3,FALSE()),VLOOKUP($B615,Ref_Acuerdos!$A:$E,4,FALSE()),""),"")</f>
        <v>10</v>
      </c>
      <c r="K615" s="4" t="str">
        <f aca="false">IFERROR(IF($A615&gt;=VLOOKUP($B615,Ref_Acuerdos!$A:$E,3,FALSE()),VLOOKUP($B615,Ref_Acuerdos!$A:$E,5,FALSE()),"Sin FTA/PTA vigente ese año - arancel NMF"),"Sin FTA/PTA identificado - arancel NMF")</f>
        <v>ALADI - Acuerdo de Alcance Parcial (preferencia limitada, tarifa referencial)</v>
      </c>
    </row>
    <row r="616" customFormat="false" ht="15" hidden="false" customHeight="false" outlineLevel="0" collapsed="false">
      <c r="A616" s="2" t="n">
        <v>2018</v>
      </c>
      <c r="B616" s="2" t="s">
        <v>103</v>
      </c>
      <c r="C616" s="4" t="str">
        <f aca="false">IFERROR(VLOOKUP($B616,Ref_Continente!$A:$B,2,FALSE()),"Sin clasificar")</f>
        <v>Europe</v>
      </c>
      <c r="D616" s="5" t="n">
        <v>24071</v>
      </c>
      <c r="E616" s="6" t="n">
        <v>5981.6</v>
      </c>
      <c r="F616" s="6" t="n">
        <v>10500</v>
      </c>
      <c r="G616" s="5"/>
      <c r="H616" s="4" t="n">
        <f aca="false">IFERROR(IF(AND(VLOOKUP($B616,Ref_Acuerdos!$A:$E,2,FALSE())="FTA",$A616&gt;=VLOOKUP($B616,Ref_Acuerdos!$A:$E,3,FALSE())),1,0),0)</f>
        <v>1</v>
      </c>
      <c r="I616" s="4" t="n">
        <f aca="false">IFERROR(IF(AND(VLOOKUP($B616,Ref_Acuerdos!$A:$E,2,FALSE())="PTA",$A616&gt;=VLOOKUP($B616,Ref_Acuerdos!$A:$E,3,FALSE())),1,0),0)</f>
        <v>0</v>
      </c>
      <c r="J616" s="7" t="n">
        <f aca="false">IFERROR(IF($A616&gt;=VLOOKUP($B616,Ref_Acuerdos!$A:$E,3,FALSE()),VLOOKUP($B616,Ref_Acuerdos!$A:$E,4,FALSE()),""),"")</f>
        <v>0</v>
      </c>
      <c r="K616" s="4" t="str">
        <f aca="false">IFERROR(IF($A616&gt;=VLOOKUP($B616,Ref_Acuerdos!$A:$E,3,FALSE()),VLOOKUP($B616,Ref_Acuerdos!$A:$E,5,FALSE()),"Sin FTA/PTA vigente ese año - arancel NMF"),"Sin FTA/PTA identificado - arancel NMF")</f>
        <v>UE-Ecuador Acuerdo Multipartes, vigente desde ene-2017</v>
      </c>
    </row>
    <row r="617" customFormat="false" ht="15" hidden="false" customHeight="false" outlineLevel="0" collapsed="false">
      <c r="A617" s="2" t="n">
        <v>2018</v>
      </c>
      <c r="B617" s="2" t="s">
        <v>89</v>
      </c>
      <c r="C617" s="4" t="str">
        <f aca="false">IFERROR(VLOOKUP($B617,Ref_Continente!$A:$B,2,FALSE()),"Sin clasificar")</f>
        <v>Asia</v>
      </c>
      <c r="D617" s="5" t="n">
        <v>22108</v>
      </c>
      <c r="E617" s="6" t="n">
        <v>4929.1</v>
      </c>
      <c r="F617" s="6" t="n">
        <v>17800</v>
      </c>
      <c r="G617" s="5" t="n">
        <v>346841896587.31</v>
      </c>
      <c r="H617" s="4" t="n">
        <f aca="false">IFERROR(IF(AND(VLOOKUP($B617,Ref_Acuerdos!$A:$E,2,FALSE())="FTA",$A617&gt;=VLOOKUP($B617,Ref_Acuerdos!$A:$E,3,FALSE())),1,0),0)</f>
        <v>0</v>
      </c>
      <c r="I617" s="4" t="n">
        <f aca="false">IFERROR(IF(AND(VLOOKUP($B617,Ref_Acuerdos!$A:$E,2,FALSE())="PTA",$A617&gt;=VLOOKUP($B617,Ref_Acuerdos!$A:$E,3,FALSE())),1,0),0)</f>
        <v>0</v>
      </c>
      <c r="J617" s="7" t="str">
        <f aca="false">IFERROR(IF($A617&gt;=VLOOKUP($B617,Ref_Acuerdos!$A:$E,3,FALSE()),VLOOKUP($B617,Ref_Acuerdos!$A:$E,4,FALSE()),""),"")</f>
        <v/>
      </c>
      <c r="K617" s="4" t="str">
        <f aca="false">IFERROR(IF($A617&gt;=VLOOKUP($B617,Ref_Acuerdos!$A:$E,3,FALSE()),VLOOKUP($B617,Ref_Acuerdos!$A:$E,5,FALSE()),"Sin FTA/PTA vigente ese año - arancel NMF"),"Sin FTA/PTA identificado - arancel NMF")</f>
        <v>Sin FTA/PTA identificado - arancel NMF</v>
      </c>
    </row>
    <row r="618" customFormat="false" ht="15" hidden="false" customHeight="false" outlineLevel="0" collapsed="false">
      <c r="A618" s="2" t="n">
        <v>2018</v>
      </c>
      <c r="B618" s="2" t="s">
        <v>64</v>
      </c>
      <c r="C618" s="4" t="str">
        <f aca="false">IFERROR(VLOOKUP($B618,Ref_Continente!$A:$B,2,FALSE()),"Sin clasificar")</f>
        <v>Asia</v>
      </c>
      <c r="D618" s="5" t="n">
        <v>18594</v>
      </c>
      <c r="E618" s="6" t="n">
        <v>7729.5</v>
      </c>
      <c r="F618" s="6" t="n">
        <v>13500</v>
      </c>
      <c r="G618" s="5" t="n">
        <v>138646316350.73</v>
      </c>
      <c r="H618" s="4" t="n">
        <f aca="false">IFERROR(IF(AND(VLOOKUP($B618,Ref_Acuerdos!$A:$E,2,FALSE())="FTA",$A618&gt;=VLOOKUP($B618,Ref_Acuerdos!$A:$E,3,FALSE())),1,0),0)</f>
        <v>0</v>
      </c>
      <c r="I618" s="4" t="n">
        <f aca="false">IFERROR(IF(AND(VLOOKUP($B618,Ref_Acuerdos!$A:$E,2,FALSE())="PTA",$A618&gt;=VLOOKUP($B618,Ref_Acuerdos!$A:$E,3,FALSE())),1,0),0)</f>
        <v>0</v>
      </c>
      <c r="J618" s="7" t="str">
        <f aca="false">IFERROR(IF($A618&gt;=VLOOKUP($B618,Ref_Acuerdos!$A:$E,3,FALSE()),VLOOKUP($B618,Ref_Acuerdos!$A:$E,4,FALSE()),""),"")</f>
        <v/>
      </c>
      <c r="K618" s="4" t="str">
        <f aca="false">IFERROR(IF($A618&gt;=VLOOKUP($B618,Ref_Acuerdos!$A:$E,3,FALSE()),VLOOKUP($B618,Ref_Acuerdos!$A:$E,5,FALSE()),"Sin FTA/PTA vigente ese año - arancel NMF"),"Sin FTA/PTA identificado - arancel NMF")</f>
        <v>Sin FTA/PTA identificado - arancel NMF</v>
      </c>
    </row>
    <row r="619" customFormat="false" ht="15" hidden="false" customHeight="false" outlineLevel="0" collapsed="false">
      <c r="A619" s="2" t="n">
        <v>2018</v>
      </c>
      <c r="B619" s="2" t="s">
        <v>92</v>
      </c>
      <c r="C619" s="4" t="str">
        <f aca="false">IFERROR(VLOOKUP($B619,Ref_Continente!$A:$B,2,FALSE()),"Sin clasificar")</f>
        <v>Asia</v>
      </c>
      <c r="D619" s="5" t="n">
        <v>17674</v>
      </c>
      <c r="E619" s="6" t="n">
        <v>7654.3</v>
      </c>
      <c r="F619" s="6" t="n">
        <v>14000</v>
      </c>
      <c r="G619" s="5" t="n">
        <v>183335164835.17</v>
      </c>
      <c r="H619" s="4" t="n">
        <f aca="false">IFERROR(IF(AND(VLOOKUP($B619,Ref_Acuerdos!$A:$E,2,FALSE())="FTA",$A619&gt;=VLOOKUP($B619,Ref_Acuerdos!$A:$E,3,FALSE())),1,0),0)</f>
        <v>0</v>
      </c>
      <c r="I619" s="4" t="n">
        <f aca="false">IFERROR(IF(AND(VLOOKUP($B619,Ref_Acuerdos!$A:$E,2,FALSE())="PTA",$A619&gt;=VLOOKUP($B619,Ref_Acuerdos!$A:$E,3,FALSE())),1,0),0)</f>
        <v>0</v>
      </c>
      <c r="J619" s="7" t="str">
        <f aca="false">IFERROR(IF($A619&gt;=VLOOKUP($B619,Ref_Acuerdos!$A:$E,3,FALSE()),VLOOKUP($B619,Ref_Acuerdos!$A:$E,4,FALSE()),""),"")</f>
        <v/>
      </c>
      <c r="K619" s="4" t="str">
        <f aca="false">IFERROR(IF($A619&gt;=VLOOKUP($B619,Ref_Acuerdos!$A:$E,3,FALSE()),VLOOKUP($B619,Ref_Acuerdos!$A:$E,5,FALSE()),"Sin FTA/PTA vigente ese año - arancel NMF"),"Sin FTA/PTA identificado - arancel NMF")</f>
        <v>Sin FTA/PTA identificado - arancel NMF</v>
      </c>
    </row>
    <row r="620" customFormat="false" ht="15" hidden="false" customHeight="false" outlineLevel="0" collapsed="false">
      <c r="A620" s="2" t="n">
        <v>2018</v>
      </c>
      <c r="B620" s="2" t="s">
        <v>35</v>
      </c>
      <c r="C620" s="4" t="str">
        <f aca="false">IFERROR(VLOOKUP($B620,Ref_Continente!$A:$B,2,FALSE()),"Sin clasificar")</f>
        <v>Europe</v>
      </c>
      <c r="D620" s="5" t="n">
        <v>17003</v>
      </c>
      <c r="E620" s="6" t="n">
        <v>4318.2</v>
      </c>
      <c r="F620" s="6" t="n">
        <v>10100</v>
      </c>
      <c r="G620" s="5" t="n">
        <v>251992360762.24</v>
      </c>
      <c r="H620" s="4" t="n">
        <f aca="false">IFERROR(IF(AND(VLOOKUP($B620,Ref_Acuerdos!$A:$E,2,FALSE())="FTA",$A620&gt;=VLOOKUP($B620,Ref_Acuerdos!$A:$E,3,FALSE())),1,0),0)</f>
        <v>1</v>
      </c>
      <c r="I620" s="4" t="n">
        <f aca="false">IFERROR(IF(AND(VLOOKUP($B620,Ref_Acuerdos!$A:$E,2,FALSE())="PTA",$A620&gt;=VLOOKUP($B620,Ref_Acuerdos!$A:$E,3,FALSE())),1,0),0)</f>
        <v>0</v>
      </c>
      <c r="J620" s="7" t="n">
        <f aca="false">IFERROR(IF($A620&gt;=VLOOKUP($B620,Ref_Acuerdos!$A:$E,3,FALSE()),VLOOKUP($B620,Ref_Acuerdos!$A:$E,4,FALSE()),""),"")</f>
        <v>0</v>
      </c>
      <c r="K620" s="4" t="str">
        <f aca="false">IFERROR(IF($A620&gt;=VLOOKUP($B620,Ref_Acuerdos!$A:$E,3,FALSE()),VLOOKUP($B620,Ref_Acuerdos!$A:$E,5,FALSE()),"Sin FTA/PTA vigente ese año - arancel NMF"),"Sin FTA/PTA identificado - arancel NMF")</f>
        <v>UE-Ecuador Acuerdo Multipartes, vigente desde ene-2017</v>
      </c>
    </row>
    <row r="621" customFormat="false" ht="15" hidden="false" customHeight="false" outlineLevel="0" collapsed="false">
      <c r="A621" s="2" t="n">
        <v>2018</v>
      </c>
      <c r="B621" s="2" t="s">
        <v>65</v>
      </c>
      <c r="C621" s="4" t="str">
        <f aca="false">IFERROR(VLOOKUP($B621,Ref_Continente!$A:$B,2,FALSE()),"Sin clasificar")</f>
        <v>Asia</v>
      </c>
      <c r="D621" s="5" t="n">
        <v>12599</v>
      </c>
      <c r="E621" s="6" t="n">
        <v>265</v>
      </c>
      <c r="F621" s="6" t="n">
        <v>14300</v>
      </c>
      <c r="G621" s="5"/>
      <c r="H621" s="4" t="n">
        <f aca="false">IFERROR(IF(AND(VLOOKUP($B621,Ref_Acuerdos!$A:$E,2,FALSE())="FTA",$A621&gt;=VLOOKUP($B621,Ref_Acuerdos!$A:$E,3,FALSE())),1,0),0)</f>
        <v>0</v>
      </c>
      <c r="I621" s="4" t="n">
        <f aca="false">IFERROR(IF(AND(VLOOKUP($B621,Ref_Acuerdos!$A:$E,2,FALSE())="PTA",$A621&gt;=VLOOKUP($B621,Ref_Acuerdos!$A:$E,3,FALSE())),1,0),0)</f>
        <v>0</v>
      </c>
      <c r="J621" s="7" t="str">
        <f aca="false">IFERROR(IF($A621&gt;=VLOOKUP($B621,Ref_Acuerdos!$A:$E,3,FALSE()),VLOOKUP($B621,Ref_Acuerdos!$A:$E,4,FALSE()),""),"")</f>
        <v/>
      </c>
      <c r="K621" s="4" t="str">
        <f aca="false">IFERROR(IF($A621&gt;=VLOOKUP($B621,Ref_Acuerdos!$A:$E,3,FALSE()),VLOOKUP($B621,Ref_Acuerdos!$A:$E,5,FALSE()),"Sin FTA/PTA vigente ese año - arancel NMF"),"Sin FTA/PTA identificado - arancel NMF")</f>
        <v>Sin FTA/PTA identificado - arancel NMF</v>
      </c>
    </row>
    <row r="622" customFormat="false" ht="15" hidden="false" customHeight="false" outlineLevel="0" collapsed="false">
      <c r="A622" s="2" t="n">
        <v>2018</v>
      </c>
      <c r="B622" s="2" t="s">
        <v>91</v>
      </c>
      <c r="C622" s="4" t="str">
        <f aca="false">IFERROR(VLOOKUP($B622,Ref_Continente!$A:$B,2,FALSE()),"Sin clasificar")</f>
        <v>Europe</v>
      </c>
      <c r="D622" s="5" t="n">
        <v>12100</v>
      </c>
      <c r="E622" s="6" t="n">
        <v>8048</v>
      </c>
      <c r="F622" s="6" t="n">
        <v>8700</v>
      </c>
      <c r="G622" s="5" t="n">
        <v>242092894542.89</v>
      </c>
      <c r="H622" s="4" t="n">
        <f aca="false">IFERROR(IF(AND(VLOOKUP($B622,Ref_Acuerdos!$A:$E,2,FALSE())="FTA",$A622&gt;=VLOOKUP($B622,Ref_Acuerdos!$A:$E,3,FALSE())),1,0),0)</f>
        <v>1</v>
      </c>
      <c r="I622" s="4" t="n">
        <f aca="false">IFERROR(IF(AND(VLOOKUP($B622,Ref_Acuerdos!$A:$E,2,FALSE())="PTA",$A622&gt;=VLOOKUP($B622,Ref_Acuerdos!$A:$E,3,FALSE())),1,0),0)</f>
        <v>0</v>
      </c>
      <c r="J622" s="7" t="n">
        <f aca="false">IFERROR(IF($A622&gt;=VLOOKUP($B622,Ref_Acuerdos!$A:$E,3,FALSE()),VLOOKUP($B622,Ref_Acuerdos!$A:$E,4,FALSE()),""),"")</f>
        <v>0</v>
      </c>
      <c r="K622" s="4" t="str">
        <f aca="false">IFERROR(IF($A622&gt;=VLOOKUP($B622,Ref_Acuerdos!$A:$E,3,FALSE()),VLOOKUP($B622,Ref_Acuerdos!$A:$E,5,FALSE()),"Sin FTA/PTA vigente ese año - arancel NMF"),"Sin FTA/PTA identificado - arancel NMF")</f>
        <v>UE-Ecuador Acuerdo Multipartes, vigente desde ene-2017</v>
      </c>
    </row>
    <row r="623" customFormat="false" ht="15" hidden="false" customHeight="false" outlineLevel="0" collapsed="false">
      <c r="A623" s="2" t="n">
        <v>2018</v>
      </c>
      <c r="B623" s="2" t="s">
        <v>42</v>
      </c>
      <c r="C623" s="4" t="str">
        <f aca="false">IFERROR(VLOOKUP($B623,Ref_Continente!$A:$B,2,FALSE()),"Sin clasificar")</f>
        <v>Europe</v>
      </c>
      <c r="D623" s="5" t="n">
        <v>11438</v>
      </c>
      <c r="E623" s="6" t="n">
        <v>2903</v>
      </c>
      <c r="F623" s="6" t="n">
        <v>9150</v>
      </c>
      <c r="G623" s="5" t="n">
        <v>2781576320884.39</v>
      </c>
      <c r="H623" s="4" t="n">
        <f aca="false">IFERROR(IF(AND(VLOOKUP($B623,Ref_Acuerdos!$A:$E,2,FALSE())="FTA",$A623&gt;=VLOOKUP($B623,Ref_Acuerdos!$A:$E,3,FALSE())),1,0),0)</f>
        <v>1</v>
      </c>
      <c r="I623" s="4" t="n">
        <f aca="false">IFERROR(IF(AND(VLOOKUP($B623,Ref_Acuerdos!$A:$E,2,FALSE())="PTA",$A623&gt;=VLOOKUP($B623,Ref_Acuerdos!$A:$E,3,FALSE())),1,0),0)</f>
        <v>0</v>
      </c>
      <c r="J623" s="7" t="n">
        <f aca="false">IFERROR(IF($A623&gt;=VLOOKUP($B623,Ref_Acuerdos!$A:$E,3,FALSE()),VLOOKUP($B623,Ref_Acuerdos!$A:$E,4,FALSE()),""),"")</f>
        <v>0</v>
      </c>
      <c r="K623" s="4" t="str">
        <f aca="false">IFERROR(IF($A623&gt;=VLOOKUP($B623,Ref_Acuerdos!$A:$E,3,FALSE()),VLOOKUP($B623,Ref_Acuerdos!$A:$E,5,FALSE()),"Sin FTA/PTA vigente ese año - arancel NMF"),"Sin FTA/PTA identificado - arancel NMF")</f>
        <v>UE-Ecuador Acuerdo Multipartes, vigente desde ene-2017</v>
      </c>
    </row>
    <row r="624" customFormat="false" ht="15" hidden="false" customHeight="false" outlineLevel="0" collapsed="false">
      <c r="A624" s="2" t="n">
        <v>2018</v>
      </c>
      <c r="B624" s="2" t="s">
        <v>71</v>
      </c>
      <c r="C624" s="4" t="str">
        <f aca="false">IFERROR(VLOOKUP($B624,Ref_Continente!$A:$B,2,FALSE()),"Sin clasificar")</f>
        <v>Asia</v>
      </c>
      <c r="D624" s="5" t="n">
        <v>10588</v>
      </c>
      <c r="E624" s="6" t="n">
        <v>4798.3</v>
      </c>
      <c r="F624" s="6" t="n">
        <v>17100</v>
      </c>
      <c r="G624" s="5" t="n">
        <v>5404344162.7</v>
      </c>
      <c r="H624" s="4" t="n">
        <f aca="false">IFERROR(IF(AND(VLOOKUP($B624,Ref_Acuerdos!$A:$E,2,FALSE())="FTA",$A624&gt;=VLOOKUP($B624,Ref_Acuerdos!$A:$E,3,FALSE())),1,0),0)</f>
        <v>0</v>
      </c>
      <c r="I624" s="4" t="n">
        <f aca="false">IFERROR(IF(AND(VLOOKUP($B624,Ref_Acuerdos!$A:$E,2,FALSE())="PTA",$A624&gt;=VLOOKUP($B624,Ref_Acuerdos!$A:$E,3,FALSE())),1,0),0)</f>
        <v>0</v>
      </c>
      <c r="J624" s="7" t="str">
        <f aca="false">IFERROR(IF($A624&gt;=VLOOKUP($B624,Ref_Acuerdos!$A:$E,3,FALSE()),VLOOKUP($B624,Ref_Acuerdos!$A:$E,4,FALSE()),""),"")</f>
        <v/>
      </c>
      <c r="K624" s="4" t="str">
        <f aca="false">IFERROR(IF($A624&gt;=VLOOKUP($B624,Ref_Acuerdos!$A:$E,3,FALSE()),VLOOKUP($B624,Ref_Acuerdos!$A:$E,5,FALSE()),"Sin FTA/PTA vigente ese año - arancel NMF"),"Sin FTA/PTA identificado - arancel NMF")</f>
        <v>Sin FTA/PTA identificado - arancel NMF</v>
      </c>
    </row>
    <row r="625" customFormat="false" ht="15" hidden="false" customHeight="false" outlineLevel="0" collapsed="false">
      <c r="A625" s="2" t="n">
        <v>2018</v>
      </c>
      <c r="B625" s="2" t="s">
        <v>45</v>
      </c>
      <c r="C625" s="4" t="str">
        <f aca="false">IFERROR(VLOOKUP($B625,Ref_Continente!$A:$B,2,FALSE()),"Sin clasificar")</f>
        <v>Europe</v>
      </c>
      <c r="D625" s="5" t="n">
        <v>10448</v>
      </c>
      <c r="E625" s="6" t="n">
        <v>2097.5</v>
      </c>
      <c r="F625" s="6" t="n">
        <v>9650</v>
      </c>
      <c r="G625" s="5" t="n">
        <v>4055433215301.96</v>
      </c>
      <c r="H625" s="4" t="n">
        <f aca="false">IFERROR(IF(AND(VLOOKUP($B625,Ref_Acuerdos!$A:$E,2,FALSE())="FTA",$A625&gt;=VLOOKUP($B625,Ref_Acuerdos!$A:$E,3,FALSE())),1,0),0)</f>
        <v>1</v>
      </c>
      <c r="I625" s="4" t="n">
        <f aca="false">IFERROR(IF(AND(VLOOKUP($B625,Ref_Acuerdos!$A:$E,2,FALSE())="PTA",$A625&gt;=VLOOKUP($B625,Ref_Acuerdos!$A:$E,3,FALSE())),1,0),0)</f>
        <v>0</v>
      </c>
      <c r="J625" s="7" t="n">
        <f aca="false">IFERROR(IF($A625&gt;=VLOOKUP($B625,Ref_Acuerdos!$A:$E,3,FALSE()),VLOOKUP($B625,Ref_Acuerdos!$A:$E,4,FALSE()),""),"")</f>
        <v>0</v>
      </c>
      <c r="K625" s="4" t="str">
        <f aca="false">IFERROR(IF($A625&gt;=VLOOKUP($B625,Ref_Acuerdos!$A:$E,3,FALSE()),VLOOKUP($B625,Ref_Acuerdos!$A:$E,5,FALSE()),"Sin FTA/PTA vigente ese año - arancel NMF"),"Sin FTA/PTA identificado - arancel NMF")</f>
        <v>UE-Ecuador Acuerdo Multipartes, vigente desde ene-2017</v>
      </c>
    </row>
    <row r="626" customFormat="false" ht="15" hidden="false" customHeight="false" outlineLevel="0" collapsed="false">
      <c r="A626" s="2" t="n">
        <v>2018</v>
      </c>
      <c r="B626" s="2" t="s">
        <v>111</v>
      </c>
      <c r="C626" s="4" t="str">
        <f aca="false">IFERROR(VLOOKUP($B626,Ref_Continente!$A:$B,2,FALSE()),"Sin clasificar")</f>
        <v>North America</v>
      </c>
      <c r="D626" s="5" t="n">
        <v>9192</v>
      </c>
      <c r="E626" s="6" t="n">
        <v>1634.7</v>
      </c>
      <c r="F626" s="6" t="n">
        <v>2530</v>
      </c>
      <c r="G626" s="5" t="n">
        <v>23883058083.22</v>
      </c>
      <c r="H626" s="4" t="n">
        <f aca="false">IFERROR(IF(AND(VLOOKUP($B626,Ref_Acuerdos!$A:$E,2,FALSE())="FTA",$A626&gt;=VLOOKUP($B626,Ref_Acuerdos!$A:$E,3,FALSE())),1,0),0)</f>
        <v>0</v>
      </c>
      <c r="I626" s="4" t="n">
        <f aca="false">IFERROR(IF(AND(VLOOKUP($B626,Ref_Acuerdos!$A:$E,2,FALSE())="PTA",$A626&gt;=VLOOKUP($B626,Ref_Acuerdos!$A:$E,3,FALSE())),1,0),0)</f>
        <v>0</v>
      </c>
      <c r="J626" s="7" t="str">
        <f aca="false">IFERROR(IF($A626&gt;=VLOOKUP($B626,Ref_Acuerdos!$A:$E,3,FALSE()),VLOOKUP($B626,Ref_Acuerdos!$A:$E,4,FALSE()),""),"")</f>
        <v/>
      </c>
      <c r="K626" s="4" t="str">
        <f aca="false">IFERROR(IF($A626&gt;=VLOOKUP($B626,Ref_Acuerdos!$A:$E,3,FALSE()),VLOOKUP($B626,Ref_Acuerdos!$A:$E,5,FALSE()),"Sin FTA/PTA vigente ese año - arancel NMF"),"Sin FTA/PTA identificado - arancel NMF")</f>
        <v>Sin FTA/PTA identificado - arancel NMF</v>
      </c>
    </row>
    <row r="627" customFormat="false" ht="15" hidden="false" customHeight="false" outlineLevel="0" collapsed="false">
      <c r="A627" s="2" t="n">
        <v>2018</v>
      </c>
      <c r="B627" s="2" t="s">
        <v>116</v>
      </c>
      <c r="C627" s="4" t="str">
        <f aca="false">IFERROR(VLOOKUP($B627,Ref_Continente!$A:$B,2,FALSE()),"Sin clasificar")</f>
        <v>Asia</v>
      </c>
      <c r="D627" s="5" t="n">
        <v>8012</v>
      </c>
      <c r="E627" s="6" t="n">
        <v>2732.4</v>
      </c>
      <c r="F627" s="6" t="n">
        <v>14200</v>
      </c>
      <c r="G627" s="5" t="n">
        <v>440560108917.63</v>
      </c>
      <c r="H627" s="4" t="n">
        <f aca="false">IFERROR(IF(AND(VLOOKUP($B627,Ref_Acuerdos!$A:$E,2,FALSE())="FTA",$A627&gt;=VLOOKUP($B627,Ref_Acuerdos!$A:$E,3,FALSE())),1,0),0)</f>
        <v>0</v>
      </c>
      <c r="I627" s="4" t="n">
        <f aca="false">IFERROR(IF(AND(VLOOKUP($B627,Ref_Acuerdos!$A:$E,2,FALSE())="PTA",$A627&gt;=VLOOKUP($B627,Ref_Acuerdos!$A:$E,3,FALSE())),1,0),0)</f>
        <v>0</v>
      </c>
      <c r="J627" s="7" t="str">
        <f aca="false">IFERROR(IF($A627&gt;=VLOOKUP($B627,Ref_Acuerdos!$A:$E,3,FALSE()),VLOOKUP($B627,Ref_Acuerdos!$A:$E,4,FALSE()),""),"")</f>
        <v/>
      </c>
      <c r="K627" s="4" t="str">
        <f aca="false">IFERROR(IF($A627&gt;=VLOOKUP($B627,Ref_Acuerdos!$A:$E,3,FALSE()),VLOOKUP($B627,Ref_Acuerdos!$A:$E,5,FALSE()),"Sin FTA/PTA vigente ese año - arancel NMF"),"Sin FTA/PTA identificado - arancel NMF")</f>
        <v>Sin FTA/PTA identificado - arancel NMF</v>
      </c>
    </row>
    <row r="628" customFormat="false" ht="15" hidden="false" customHeight="false" outlineLevel="0" collapsed="false">
      <c r="A628" s="2" t="n">
        <v>2018</v>
      </c>
      <c r="B628" s="2" t="s">
        <v>16</v>
      </c>
      <c r="C628" s="4" t="str">
        <f aca="false">IFERROR(VLOOKUP($B628,Ref_Continente!$A:$B,2,FALSE()),"Sin clasificar")</f>
        <v>Asia</v>
      </c>
      <c r="D628" s="5" t="n">
        <v>7073</v>
      </c>
      <c r="E628" s="6" t="n">
        <v>1491.3</v>
      </c>
      <c r="F628" s="6" t="n">
        <v>13100</v>
      </c>
      <c r="G628" s="5" t="n">
        <v>47112470051.77</v>
      </c>
      <c r="H628" s="4" t="n">
        <f aca="false">IFERROR(IF(AND(VLOOKUP($B628,Ref_Acuerdos!$A:$E,2,FALSE())="FTA",$A628&gt;=VLOOKUP($B628,Ref_Acuerdos!$A:$E,3,FALSE())),1,0),0)</f>
        <v>0</v>
      </c>
      <c r="I628" s="4" t="n">
        <f aca="false">IFERROR(IF(AND(VLOOKUP($B628,Ref_Acuerdos!$A:$E,2,FALSE())="PTA",$A628&gt;=VLOOKUP($B628,Ref_Acuerdos!$A:$E,3,FALSE())),1,0),0)</f>
        <v>0</v>
      </c>
      <c r="J628" s="7" t="str">
        <f aca="false">IFERROR(IF($A628&gt;=VLOOKUP($B628,Ref_Acuerdos!$A:$E,3,FALSE()),VLOOKUP($B628,Ref_Acuerdos!$A:$E,4,FALSE()),""),"")</f>
        <v/>
      </c>
      <c r="K628" s="4" t="str">
        <f aca="false">IFERROR(IF($A628&gt;=VLOOKUP($B628,Ref_Acuerdos!$A:$E,3,FALSE()),VLOOKUP($B628,Ref_Acuerdos!$A:$E,5,FALSE()),"Sin FTA/PTA vigente ese año - arancel NMF"),"Sin FTA/PTA identificado - arancel NMF")</f>
        <v>Sin FTA/PTA identificado - arancel NMF</v>
      </c>
    </row>
    <row r="629" customFormat="false" ht="15" hidden="false" customHeight="false" outlineLevel="0" collapsed="false">
      <c r="A629" s="2" t="n">
        <v>2018</v>
      </c>
      <c r="B629" s="2" t="s">
        <v>95</v>
      </c>
      <c r="C629" s="4" t="str">
        <f aca="false">IFERROR(VLOOKUP($B629,Ref_Continente!$A:$B,2,FALSE()),"Sin clasificar")</f>
        <v>Europe</v>
      </c>
      <c r="D629" s="5" t="n">
        <v>4500</v>
      </c>
      <c r="E629" s="6" t="n">
        <v>3</v>
      </c>
      <c r="F629" s="6" t="n">
        <v>11300</v>
      </c>
      <c r="G629" s="5" t="n">
        <v>241791427223.9</v>
      </c>
      <c r="H629" s="4" t="n">
        <f aca="false">IFERROR(IF(AND(VLOOKUP($B629,Ref_Acuerdos!$A:$E,2,FALSE())="FTA",$A629&gt;=VLOOKUP($B629,Ref_Acuerdos!$A:$E,3,FALSE())),1,0),0)</f>
        <v>1</v>
      </c>
      <c r="I629" s="4" t="n">
        <f aca="false">IFERROR(IF(AND(VLOOKUP($B629,Ref_Acuerdos!$A:$E,2,FALSE())="PTA",$A629&gt;=VLOOKUP($B629,Ref_Acuerdos!$A:$E,3,FALSE())),1,0),0)</f>
        <v>0</v>
      </c>
      <c r="J629" s="7" t="n">
        <f aca="false">IFERROR(IF($A629&gt;=VLOOKUP($B629,Ref_Acuerdos!$A:$E,3,FALSE()),VLOOKUP($B629,Ref_Acuerdos!$A:$E,4,FALSE()),""),"")</f>
        <v>0</v>
      </c>
      <c r="K629" s="4" t="str">
        <f aca="false">IFERROR(IF($A629&gt;=VLOOKUP($B629,Ref_Acuerdos!$A:$E,3,FALSE()),VLOOKUP($B629,Ref_Acuerdos!$A:$E,5,FALSE()),"Sin FTA/PTA vigente ese año - arancel NMF"),"Sin FTA/PTA identificado - arancel NMF")</f>
        <v>UE-Ecuador Acuerdo Multipartes, vigente desde ene-2017</v>
      </c>
    </row>
    <row r="630" customFormat="false" ht="15" hidden="false" customHeight="false" outlineLevel="0" collapsed="false">
      <c r="A630" s="2" t="n">
        <v>2018</v>
      </c>
      <c r="B630" s="2" t="s">
        <v>31</v>
      </c>
      <c r="C630" s="4" t="str">
        <f aca="false">IFERROR(VLOOKUP($B630,Ref_Continente!$A:$B,2,FALSE()),"Sin clasificar")</f>
        <v>Europe</v>
      </c>
      <c r="D630" s="5" t="n">
        <v>3571</v>
      </c>
      <c r="E630" s="6" t="n">
        <v>771.1</v>
      </c>
      <c r="F630" s="6" t="n">
        <v>10400</v>
      </c>
      <c r="G630" s="5" t="n">
        <v>61667925219.08</v>
      </c>
      <c r="H630" s="4" t="n">
        <f aca="false">IFERROR(IF(AND(VLOOKUP($B630,Ref_Acuerdos!$A:$E,2,FALSE())="FTA",$A630&gt;=VLOOKUP($B630,Ref_Acuerdos!$A:$E,3,FALSE())),1,0),0)</f>
        <v>1</v>
      </c>
      <c r="I630" s="4" t="n">
        <f aca="false">IFERROR(IF(AND(VLOOKUP($B630,Ref_Acuerdos!$A:$E,2,FALSE())="PTA",$A630&gt;=VLOOKUP($B630,Ref_Acuerdos!$A:$E,3,FALSE())),1,0),0)</f>
        <v>0</v>
      </c>
      <c r="J630" s="7" t="n">
        <f aca="false">IFERROR(IF($A630&gt;=VLOOKUP($B630,Ref_Acuerdos!$A:$E,3,FALSE()),VLOOKUP($B630,Ref_Acuerdos!$A:$E,4,FALSE()),""),"")</f>
        <v>0</v>
      </c>
      <c r="K630" s="4" t="str">
        <f aca="false">IFERROR(IF($A630&gt;=VLOOKUP($B630,Ref_Acuerdos!$A:$E,3,FALSE()),VLOOKUP($B630,Ref_Acuerdos!$A:$E,5,FALSE()),"Sin FTA/PTA vigente ese año - arancel NMF"),"Sin FTA/PTA identificado - arancel NMF")</f>
        <v>UE-Ecuador Acuerdo Multipartes, vigente desde ene-2017</v>
      </c>
    </row>
    <row r="631" customFormat="false" ht="15" hidden="false" customHeight="false" outlineLevel="0" collapsed="false">
      <c r="A631" s="2" t="n">
        <v>2018</v>
      </c>
      <c r="B631" s="2" t="s">
        <v>39</v>
      </c>
      <c r="C631" s="4" t="str">
        <f aca="false">IFERROR(VLOOKUP($B631,Ref_Continente!$A:$B,2,FALSE()),"Sin clasificar")</f>
        <v>North America</v>
      </c>
      <c r="D631" s="5" t="n">
        <v>3561</v>
      </c>
      <c r="E631" s="6" t="n">
        <v>498.9</v>
      </c>
      <c r="F631" s="6" t="n">
        <v>2000</v>
      </c>
      <c r="G631" s="5" t="n">
        <v>26020850000</v>
      </c>
      <c r="H631" s="4" t="n">
        <f aca="false">IFERROR(IF(AND(VLOOKUP($B631,Ref_Acuerdos!$A:$E,2,FALSE())="FTA",$A631&gt;=VLOOKUP($B631,Ref_Acuerdos!$A:$E,3,FALSE())),1,0),0)</f>
        <v>0</v>
      </c>
      <c r="I631" s="4" t="n">
        <f aca="false">IFERROR(IF(AND(VLOOKUP($B631,Ref_Acuerdos!$A:$E,2,FALSE())="PTA",$A631&gt;=VLOOKUP($B631,Ref_Acuerdos!$A:$E,3,FALSE())),1,0),0)</f>
        <v>0</v>
      </c>
      <c r="J631" s="7" t="str">
        <f aca="false">IFERROR(IF($A631&gt;=VLOOKUP($B631,Ref_Acuerdos!$A:$E,3,FALSE()),VLOOKUP($B631,Ref_Acuerdos!$A:$E,4,FALSE()),""),"")</f>
        <v/>
      </c>
      <c r="K631" s="4" t="str">
        <f aca="false">IFERROR(IF($A631&gt;=VLOOKUP($B631,Ref_Acuerdos!$A:$E,3,FALSE()),VLOOKUP($B631,Ref_Acuerdos!$A:$E,5,FALSE()),"Sin FTA/PTA vigente ese año - arancel NMF"),"Sin FTA/PTA identificado - arancel NMF")</f>
        <v>Sin FTA/PTA identificado - arancel NMF</v>
      </c>
    </row>
    <row r="632" customFormat="false" ht="15" hidden="false" customHeight="false" outlineLevel="0" collapsed="false">
      <c r="A632" s="2" t="n">
        <v>2018</v>
      </c>
      <c r="B632" s="2" t="s">
        <v>83</v>
      </c>
      <c r="C632" s="4" t="str">
        <f aca="false">IFERROR(VLOOKUP($B632,Ref_Continente!$A:$B,2,FALSE()),"Sin clasificar")</f>
        <v>Europe</v>
      </c>
      <c r="D632" s="5" t="n">
        <v>2371</v>
      </c>
      <c r="E632" s="6" t="n">
        <v>569</v>
      </c>
      <c r="F632" s="6" t="n">
        <v>9980</v>
      </c>
      <c r="G632" s="5" t="n">
        <v>439788625883.8</v>
      </c>
      <c r="H632" s="4" t="n">
        <f aca="false">IFERROR(IF(AND(VLOOKUP($B632,Ref_Acuerdos!$A:$E,2,FALSE())="FTA",$A632&gt;=VLOOKUP($B632,Ref_Acuerdos!$A:$E,3,FALSE())),1,0),0)</f>
        <v>0</v>
      </c>
      <c r="I632" s="4" t="n">
        <f aca="false">IFERROR(IF(AND(VLOOKUP($B632,Ref_Acuerdos!$A:$E,2,FALSE())="PTA",$A632&gt;=VLOOKUP($B632,Ref_Acuerdos!$A:$E,3,FALSE())),1,0),0)</f>
        <v>0</v>
      </c>
      <c r="J632" s="7" t="str">
        <f aca="false">IFERROR(IF($A632&gt;=VLOOKUP($B632,Ref_Acuerdos!$A:$E,3,FALSE()),VLOOKUP($B632,Ref_Acuerdos!$A:$E,4,FALSE()),""),"")</f>
        <v/>
      </c>
      <c r="K632" s="4" t="str">
        <f aca="false">IFERROR(IF($A632&gt;=VLOOKUP($B632,Ref_Acuerdos!$A:$E,3,FALSE()),VLOOKUP($B632,Ref_Acuerdos!$A:$E,5,FALSE()),"Sin FTA/PTA vigente ese año - arancel NMF"),"Sin FTA/PTA identificado - arancel NMF")</f>
        <v>Sin FTA/PTA vigente ese año - arancel NMF</v>
      </c>
    </row>
    <row r="633" customFormat="false" ht="15" hidden="false" customHeight="false" outlineLevel="0" collapsed="false">
      <c r="A633" s="2" t="n">
        <v>2018</v>
      </c>
      <c r="B633" s="2" t="s">
        <v>60</v>
      </c>
      <c r="C633" s="4" t="str">
        <f aca="false">IFERROR(VLOOKUP($B633,Ref_Continente!$A:$B,2,FALSE()),"Sin clasificar")</f>
        <v>North America</v>
      </c>
      <c r="D633" s="5" t="n">
        <v>1989</v>
      </c>
      <c r="E633" s="6" t="n">
        <v>425.6</v>
      </c>
      <c r="F633" s="6" t="n">
        <v>1900</v>
      </c>
      <c r="G633" s="5" t="n">
        <v>16855447986.22</v>
      </c>
      <c r="H633" s="4" t="n">
        <f aca="false">IFERROR(IF(AND(VLOOKUP($B633,Ref_Acuerdos!$A:$E,2,FALSE())="FTA",$A633&gt;=VLOOKUP($B633,Ref_Acuerdos!$A:$E,3,FALSE())),1,0),0)</f>
        <v>0</v>
      </c>
      <c r="I633" s="4" t="n">
        <f aca="false">IFERROR(IF(AND(VLOOKUP($B633,Ref_Acuerdos!$A:$E,2,FALSE())="PTA",$A633&gt;=VLOOKUP($B633,Ref_Acuerdos!$A:$E,3,FALSE())),1,0),0)</f>
        <v>0</v>
      </c>
      <c r="J633" s="7" t="str">
        <f aca="false">IFERROR(IF($A633&gt;=VLOOKUP($B633,Ref_Acuerdos!$A:$E,3,FALSE()),VLOOKUP($B633,Ref_Acuerdos!$A:$E,4,FALSE()),""),"")</f>
        <v/>
      </c>
      <c r="K633" s="4" t="str">
        <f aca="false">IFERROR(IF($A633&gt;=VLOOKUP($B633,Ref_Acuerdos!$A:$E,3,FALSE()),VLOOKUP($B633,Ref_Acuerdos!$A:$E,5,FALSE()),"Sin FTA/PTA vigente ese año - arancel NMF"),"Sin FTA/PTA identificado - arancel NMF")</f>
        <v>Sin FTA/PTA identificado - arancel NMF</v>
      </c>
    </row>
    <row r="634" customFormat="false" ht="15" hidden="false" customHeight="false" outlineLevel="0" collapsed="false">
      <c r="A634" s="2" t="n">
        <v>2018</v>
      </c>
      <c r="B634" s="2" t="s">
        <v>100</v>
      </c>
      <c r="C634" s="4" t="str">
        <f aca="false">IFERROR(VLOOKUP($B634,Ref_Continente!$A:$B,2,FALSE()),"Sin clasificar")</f>
        <v>Asia</v>
      </c>
      <c r="D634" s="5" t="n">
        <v>1858</v>
      </c>
      <c r="E634" s="6" t="n">
        <v>1042.3</v>
      </c>
      <c r="F634" s="6" t="n">
        <v>13800</v>
      </c>
      <c r="G634" s="5" t="n">
        <v>886564800000</v>
      </c>
      <c r="H634" s="4" t="n">
        <f aca="false">IFERROR(IF(AND(VLOOKUP($B634,Ref_Acuerdos!$A:$E,2,FALSE())="FTA",$A634&gt;=VLOOKUP($B634,Ref_Acuerdos!$A:$E,3,FALSE())),1,0),0)</f>
        <v>0</v>
      </c>
      <c r="I634" s="4" t="n">
        <f aca="false">IFERROR(IF(AND(VLOOKUP($B634,Ref_Acuerdos!$A:$E,2,FALSE())="PTA",$A634&gt;=VLOOKUP($B634,Ref_Acuerdos!$A:$E,3,FALSE())),1,0),0)</f>
        <v>0</v>
      </c>
      <c r="J634" s="7" t="str">
        <f aca="false">IFERROR(IF($A634&gt;=VLOOKUP($B634,Ref_Acuerdos!$A:$E,3,FALSE()),VLOOKUP($B634,Ref_Acuerdos!$A:$E,4,FALSE()),""),"")</f>
        <v/>
      </c>
      <c r="K634" s="4" t="str">
        <f aca="false">IFERROR(IF($A634&gt;=VLOOKUP($B634,Ref_Acuerdos!$A:$E,3,FALSE()),VLOOKUP($B634,Ref_Acuerdos!$A:$E,5,FALSE()),"Sin FTA/PTA vigente ese año - arancel NMF"),"Sin FTA/PTA identificado - arancel NMF")</f>
        <v>Sin FTA/PTA identificado - arancel NMF</v>
      </c>
    </row>
    <row r="635" customFormat="false" ht="15" hidden="false" customHeight="false" outlineLevel="0" collapsed="false">
      <c r="A635" s="2" t="n">
        <v>2018</v>
      </c>
      <c r="B635" s="2" t="s">
        <v>46</v>
      </c>
      <c r="C635" s="4" t="str">
        <f aca="false">IFERROR(VLOOKUP($B635,Ref_Continente!$A:$B,2,FALSE()),"Sin clasificar")</f>
        <v>Europe</v>
      </c>
      <c r="D635" s="5" t="n">
        <v>1527</v>
      </c>
      <c r="E635" s="6" t="n">
        <v>331</v>
      </c>
      <c r="F635" s="6" t="n">
        <v>11250</v>
      </c>
      <c r="G635" s="5" t="n">
        <v>213298873494.39</v>
      </c>
      <c r="H635" s="4" t="n">
        <f aca="false">IFERROR(IF(AND(VLOOKUP($B635,Ref_Acuerdos!$A:$E,2,FALSE())="FTA",$A635&gt;=VLOOKUP($B635,Ref_Acuerdos!$A:$E,3,FALSE())),1,0),0)</f>
        <v>1</v>
      </c>
      <c r="I635" s="4" t="n">
        <f aca="false">IFERROR(IF(AND(VLOOKUP($B635,Ref_Acuerdos!$A:$E,2,FALSE())="PTA",$A635&gt;=VLOOKUP($B635,Ref_Acuerdos!$A:$E,3,FALSE())),1,0),0)</f>
        <v>0</v>
      </c>
      <c r="J635" s="7" t="n">
        <f aca="false">IFERROR(IF($A635&gt;=VLOOKUP($B635,Ref_Acuerdos!$A:$E,3,FALSE()),VLOOKUP($B635,Ref_Acuerdos!$A:$E,4,FALSE()),""),"")</f>
        <v>0</v>
      </c>
      <c r="K635" s="4" t="str">
        <f aca="false">IFERROR(IF($A635&gt;=VLOOKUP($B635,Ref_Acuerdos!$A:$E,3,FALSE()),VLOOKUP($B635,Ref_Acuerdos!$A:$E,5,FALSE()),"Sin FTA/PTA vigente ese año - arancel NMF"),"Sin FTA/PTA identificado - arancel NMF")</f>
        <v>UE-Ecuador Acuerdo Multipartes, vigente desde ene-2017</v>
      </c>
    </row>
    <row r="636" customFormat="false" ht="15" hidden="false" customHeight="false" outlineLevel="0" collapsed="false">
      <c r="A636" s="2" t="n">
        <v>2018</v>
      </c>
      <c r="B636" s="2" t="s">
        <v>117</v>
      </c>
      <c r="C636" s="4" t="str">
        <f aca="false">IFERROR(VLOOKUP($B636,Ref_Continente!$A:$B,2,FALSE()),"Sin clasificar")</f>
        <v>Europe</v>
      </c>
      <c r="D636" s="5" t="n">
        <v>1435</v>
      </c>
      <c r="E636" s="6" t="n">
        <v>255.6</v>
      </c>
      <c r="F636" s="6" t="n">
        <v>9200</v>
      </c>
      <c r="G636" s="5" t="n">
        <v>2897028009916.05</v>
      </c>
      <c r="H636" s="4" t="n">
        <f aca="false">IFERROR(IF(AND(VLOOKUP($B636,Ref_Acuerdos!$A:$E,2,FALSE())="FTA",$A636&gt;=VLOOKUP($B636,Ref_Acuerdos!$A:$E,3,FALSE())),1,0),0)</f>
        <v>0</v>
      </c>
      <c r="I636" s="4" t="n">
        <f aca="false">IFERROR(IF(AND(VLOOKUP($B636,Ref_Acuerdos!$A:$E,2,FALSE())="PTA",$A636&gt;=VLOOKUP($B636,Ref_Acuerdos!$A:$E,3,FALSE())),1,0),0)</f>
        <v>0</v>
      </c>
      <c r="J636" s="7" t="str">
        <f aca="false">IFERROR(IF($A636&gt;=VLOOKUP($B636,Ref_Acuerdos!$A:$E,3,FALSE()),VLOOKUP($B636,Ref_Acuerdos!$A:$E,4,FALSE()),""),"")</f>
        <v/>
      </c>
      <c r="K636" s="4" t="str">
        <f aca="false">IFERROR(IF($A636&gt;=VLOOKUP($B636,Ref_Acuerdos!$A:$E,3,FALSE()),VLOOKUP($B636,Ref_Acuerdos!$A:$E,5,FALSE()),"Sin FTA/PTA vigente ese año - arancel NMF"),"Sin FTA/PTA identificado - arancel NMF")</f>
        <v>Sin FTA/PTA vigente ese año - arancel NMF</v>
      </c>
    </row>
    <row r="637" customFormat="false" ht="15" hidden="false" customHeight="false" outlineLevel="0" collapsed="false">
      <c r="A637" s="2" t="n">
        <v>2018</v>
      </c>
      <c r="B637" s="2" t="s">
        <v>27</v>
      </c>
      <c r="C637" s="4" t="str">
        <f aca="false">IFERROR(VLOOKUP($B637,Ref_Continente!$A:$B,2,FALSE()),"Sin clasificar")</f>
        <v>Asia</v>
      </c>
      <c r="D637" s="5" t="n">
        <v>827</v>
      </c>
      <c r="E637" s="6" t="n">
        <v>153.2</v>
      </c>
      <c r="F637" s="6" t="n">
        <v>17000</v>
      </c>
      <c r="G637" s="5" t="n">
        <v>14147765772963.8</v>
      </c>
      <c r="H637" s="4" t="n">
        <f aca="false">IFERROR(IF(AND(VLOOKUP($B637,Ref_Acuerdos!$A:$E,2,FALSE())="FTA",$A637&gt;=VLOOKUP($B637,Ref_Acuerdos!$A:$E,3,FALSE())),1,0),0)</f>
        <v>0</v>
      </c>
      <c r="I637" s="4" t="n">
        <f aca="false">IFERROR(IF(AND(VLOOKUP($B637,Ref_Acuerdos!$A:$E,2,FALSE())="PTA",$A637&gt;=VLOOKUP($B637,Ref_Acuerdos!$A:$E,3,FALSE())),1,0),0)</f>
        <v>0</v>
      </c>
      <c r="J637" s="7" t="str">
        <f aca="false">IFERROR(IF($A637&gt;=VLOOKUP($B637,Ref_Acuerdos!$A:$E,3,FALSE()),VLOOKUP($B637,Ref_Acuerdos!$A:$E,4,FALSE()),""),"")</f>
        <v/>
      </c>
      <c r="K637" s="4" t="str">
        <f aca="false">IFERROR(IF($A637&gt;=VLOOKUP($B637,Ref_Acuerdos!$A:$E,3,FALSE()),VLOOKUP($B637,Ref_Acuerdos!$A:$E,5,FALSE()),"Sin FTA/PTA vigente ese año - arancel NMF"),"Sin FTA/PTA identificado - arancel NMF")</f>
        <v>Sin FTA/PTA vigente ese año - arancel NMF</v>
      </c>
    </row>
    <row r="638" customFormat="false" ht="15" hidden="false" customHeight="false" outlineLevel="0" collapsed="false">
      <c r="A638" s="2" t="n">
        <v>2018</v>
      </c>
      <c r="B638" s="2" t="s">
        <v>110</v>
      </c>
      <c r="C638" s="4" t="str">
        <f aca="false">IFERROR(VLOOKUP($B638,Ref_Continente!$A:$B,2,FALSE()),"Sin clasificar")</f>
        <v>Asia</v>
      </c>
      <c r="D638" s="5" t="n">
        <v>704</v>
      </c>
      <c r="E638" s="6" t="n">
        <v>195.5</v>
      </c>
      <c r="F638" s="6" t="n">
        <v>17500</v>
      </c>
      <c r="G638" s="5" t="n">
        <v>506754208404.49</v>
      </c>
      <c r="H638" s="4" t="n">
        <f aca="false">IFERROR(IF(AND(VLOOKUP($B638,Ref_Acuerdos!$A:$E,2,FALSE())="FTA",$A638&gt;=VLOOKUP($B638,Ref_Acuerdos!$A:$E,3,FALSE())),1,0),0)</f>
        <v>0</v>
      </c>
      <c r="I638" s="4" t="n">
        <f aca="false">IFERROR(IF(AND(VLOOKUP($B638,Ref_Acuerdos!$A:$E,2,FALSE())="PTA",$A638&gt;=VLOOKUP($B638,Ref_Acuerdos!$A:$E,3,FALSE())),1,0),0)</f>
        <v>0</v>
      </c>
      <c r="J638" s="7" t="str">
        <f aca="false">IFERROR(IF($A638&gt;=VLOOKUP($B638,Ref_Acuerdos!$A:$E,3,FALSE()),VLOOKUP($B638,Ref_Acuerdos!$A:$E,4,FALSE()),""),"")</f>
        <v/>
      </c>
      <c r="K638" s="4" t="str">
        <f aca="false">IFERROR(IF($A638&gt;=VLOOKUP($B638,Ref_Acuerdos!$A:$E,3,FALSE()),VLOOKUP($B638,Ref_Acuerdos!$A:$E,5,FALSE()),"Sin FTA/PTA vigente ese año - arancel NMF"),"Sin FTA/PTA identificado - arancel NMF")</f>
        <v>Sin FTA/PTA identificado - arancel NMF</v>
      </c>
    </row>
    <row r="639" customFormat="false" ht="15" hidden="false" customHeight="false" outlineLevel="0" collapsed="false">
      <c r="A639" s="2" t="n">
        <v>2018</v>
      </c>
      <c r="B639" s="2" t="s">
        <v>56</v>
      </c>
      <c r="C639" s="4" t="str">
        <f aca="false">IFERROR(VLOOKUP($B639,Ref_Continente!$A:$B,2,FALSE()),"Sin clasificar")</f>
        <v>Asia</v>
      </c>
      <c r="D639" s="5" t="n">
        <v>700</v>
      </c>
      <c r="E639" s="6" t="n">
        <v>150</v>
      </c>
      <c r="F639" s="6" t="n">
        <v>12800</v>
      </c>
      <c r="G639" s="5" t="n">
        <v>227367469034.03</v>
      </c>
      <c r="H639" s="4" t="n">
        <f aca="false">IFERROR(IF(AND(VLOOKUP($B639,Ref_Acuerdos!$A:$E,2,FALSE())="FTA",$A639&gt;=VLOOKUP($B639,Ref_Acuerdos!$A:$E,3,FALSE())),1,0),0)</f>
        <v>0</v>
      </c>
      <c r="I639" s="4" t="n">
        <f aca="false">IFERROR(IF(AND(VLOOKUP($B639,Ref_Acuerdos!$A:$E,2,FALSE())="PTA",$A639&gt;=VLOOKUP($B639,Ref_Acuerdos!$A:$E,3,FALSE())),1,0),0)</f>
        <v>0</v>
      </c>
      <c r="J639" s="7" t="str">
        <f aca="false">IFERROR(IF($A639&gt;=VLOOKUP($B639,Ref_Acuerdos!$A:$E,3,FALSE()),VLOOKUP($B639,Ref_Acuerdos!$A:$E,4,FALSE()),""),"")</f>
        <v/>
      </c>
      <c r="K639" s="4" t="str">
        <f aca="false">IFERROR(IF($A639&gt;=VLOOKUP($B639,Ref_Acuerdos!$A:$E,3,FALSE()),VLOOKUP($B639,Ref_Acuerdos!$A:$E,5,FALSE()),"Sin FTA/PTA vigente ese año - arancel NMF"),"Sin FTA/PTA identificado - arancel NMF")</f>
        <v>Sin FTA/PTA identificado - arancel NMF</v>
      </c>
    </row>
    <row r="640" customFormat="false" ht="15" hidden="false" customHeight="false" outlineLevel="0" collapsed="false">
      <c r="A640" s="2" t="n">
        <v>2018</v>
      </c>
      <c r="B640" s="2" t="s">
        <v>112</v>
      </c>
      <c r="C640" s="4" t="str">
        <f aca="false">IFERROR(VLOOKUP($B640,Ref_Continente!$A:$B,2,FALSE()),"Sin clasificar")</f>
        <v>Asia</v>
      </c>
      <c r="D640" s="5" t="n">
        <v>700</v>
      </c>
      <c r="E640" s="6" t="n">
        <v>150</v>
      </c>
      <c r="F640" s="6" t="n">
        <v>13800</v>
      </c>
      <c r="G640" s="5" t="n">
        <v>40765428571.43</v>
      </c>
      <c r="H640" s="4" t="n">
        <f aca="false">IFERROR(IF(AND(VLOOKUP($B640,Ref_Acuerdos!$A:$E,2,FALSE())="FTA",$A640&gt;=VLOOKUP($B640,Ref_Acuerdos!$A:$E,3,FALSE())),1,0),0)</f>
        <v>0</v>
      </c>
      <c r="I640" s="4" t="n">
        <f aca="false">IFERROR(IF(AND(VLOOKUP($B640,Ref_Acuerdos!$A:$E,2,FALSE())="PTA",$A640&gt;=VLOOKUP($B640,Ref_Acuerdos!$A:$E,3,FALSE())),1,0),0)</f>
        <v>0</v>
      </c>
      <c r="J640" s="7" t="str">
        <f aca="false">IFERROR(IF($A640&gt;=VLOOKUP($B640,Ref_Acuerdos!$A:$E,3,FALSE()),VLOOKUP($B640,Ref_Acuerdos!$A:$E,4,FALSE()),""),"")</f>
        <v/>
      </c>
      <c r="K640" s="4" t="str">
        <f aca="false">IFERROR(IF($A640&gt;=VLOOKUP($B640,Ref_Acuerdos!$A:$E,3,FALSE()),VLOOKUP($B640,Ref_Acuerdos!$A:$E,5,FALSE()),"Sin FTA/PTA vigente ese año - arancel NMF"),"Sin FTA/PTA identificado - arancel NMF")</f>
        <v>Sin FTA/PTA identificado - arancel NMF</v>
      </c>
    </row>
    <row r="641" customFormat="false" ht="15" hidden="false" customHeight="false" outlineLevel="0" collapsed="false">
      <c r="A641" s="2" t="n">
        <v>2018</v>
      </c>
      <c r="B641" s="2" t="s">
        <v>24</v>
      </c>
      <c r="C641" s="4" t="str">
        <f aca="false">IFERROR(VLOOKUP($B641,Ref_Continente!$A:$B,2,FALSE()),"Sin clasificar")</f>
        <v>Europe</v>
      </c>
      <c r="D641" s="5" t="n">
        <v>692</v>
      </c>
      <c r="E641" s="6" t="n">
        <v>140.3</v>
      </c>
      <c r="F641" s="6" t="n">
        <v>10870</v>
      </c>
      <c r="G641" s="5" t="n">
        <v>66097226262.22</v>
      </c>
      <c r="H641" s="4" t="n">
        <f aca="false">IFERROR(IF(AND(VLOOKUP($B641,Ref_Acuerdos!$A:$E,2,FALSE())="FTA",$A641&gt;=VLOOKUP($B641,Ref_Acuerdos!$A:$E,3,FALSE())),1,0),0)</f>
        <v>1</v>
      </c>
      <c r="I641" s="4" t="n">
        <f aca="false">IFERROR(IF(AND(VLOOKUP($B641,Ref_Acuerdos!$A:$E,2,FALSE())="PTA",$A641&gt;=VLOOKUP($B641,Ref_Acuerdos!$A:$E,3,FALSE())),1,0),0)</f>
        <v>0</v>
      </c>
      <c r="J641" s="7" t="n">
        <f aca="false">IFERROR(IF($A641&gt;=VLOOKUP($B641,Ref_Acuerdos!$A:$E,3,FALSE()),VLOOKUP($B641,Ref_Acuerdos!$A:$E,4,FALSE()),""),"")</f>
        <v>0</v>
      </c>
      <c r="K641" s="4" t="str">
        <f aca="false">IFERROR(IF($A641&gt;=VLOOKUP($B641,Ref_Acuerdos!$A:$E,3,FALSE()),VLOOKUP($B641,Ref_Acuerdos!$A:$E,5,FALSE()),"Sin FTA/PTA vigente ese año - arancel NMF"),"Sin FTA/PTA identificado - arancel NMF")</f>
        <v>UE-Ecuador Acuerdo Multipartes, vigente desde ene-2017</v>
      </c>
    </row>
    <row r="642" customFormat="false" ht="15" hidden="false" customHeight="false" outlineLevel="0" collapsed="false">
      <c r="A642" s="2" t="n">
        <v>2018</v>
      </c>
      <c r="B642" s="2" t="s">
        <v>40</v>
      </c>
      <c r="C642" s="4" t="str">
        <f aca="false">IFERROR(VLOOKUP($B642,Ref_Continente!$A:$B,2,FALSE()),"Sin clasificar")</f>
        <v>Europe</v>
      </c>
      <c r="D642" s="5" t="n">
        <v>692</v>
      </c>
      <c r="E642" s="6" t="n">
        <v>137</v>
      </c>
      <c r="F642" s="6" t="n">
        <v>10400</v>
      </c>
      <c r="G642" s="5" t="n">
        <v>31222632740.72</v>
      </c>
      <c r="H642" s="4" t="n">
        <f aca="false">IFERROR(IF(AND(VLOOKUP($B642,Ref_Acuerdos!$A:$E,2,FALSE())="FTA",$A642&gt;=VLOOKUP($B642,Ref_Acuerdos!$A:$E,3,FALSE())),1,0),0)</f>
        <v>1</v>
      </c>
      <c r="I642" s="4" t="n">
        <f aca="false">IFERROR(IF(AND(VLOOKUP($B642,Ref_Acuerdos!$A:$E,2,FALSE())="PTA",$A642&gt;=VLOOKUP($B642,Ref_Acuerdos!$A:$E,3,FALSE())),1,0),0)</f>
        <v>0</v>
      </c>
      <c r="J642" s="7" t="n">
        <f aca="false">IFERROR(IF($A642&gt;=VLOOKUP($B642,Ref_Acuerdos!$A:$E,3,FALSE()),VLOOKUP($B642,Ref_Acuerdos!$A:$E,4,FALSE()),""),"")</f>
        <v>0</v>
      </c>
      <c r="K642" s="4" t="str">
        <f aca="false">IFERROR(IF($A642&gt;=VLOOKUP($B642,Ref_Acuerdos!$A:$E,3,FALSE()),VLOOKUP($B642,Ref_Acuerdos!$A:$E,5,FALSE()),"Sin FTA/PTA vigente ese año - arancel NMF"),"Sin FTA/PTA identificado - arancel NMF")</f>
        <v>UE-Ecuador Acuerdo Multipartes, vigente desde ene-2017</v>
      </c>
    </row>
    <row r="643" customFormat="false" ht="15" hidden="false" customHeight="false" outlineLevel="0" collapsed="false">
      <c r="A643" s="2" t="n">
        <v>2018</v>
      </c>
      <c r="B643" s="2" t="s">
        <v>44</v>
      </c>
      <c r="C643" s="4" t="str">
        <f aca="false">IFERROR(VLOOKUP($B643,Ref_Continente!$A:$B,2,FALSE()),"Sin clasificar")</f>
        <v>Asia</v>
      </c>
      <c r="D643" s="5" t="n">
        <v>600</v>
      </c>
      <c r="E643" s="6" t="n">
        <v>215.9</v>
      </c>
      <c r="F643" s="6" t="n">
        <v>11600</v>
      </c>
      <c r="G643" s="5" t="n">
        <v>17902544880.65</v>
      </c>
      <c r="H643" s="4" t="n">
        <f aca="false">IFERROR(IF(AND(VLOOKUP($B643,Ref_Acuerdos!$A:$E,2,FALSE())="FTA",$A643&gt;=VLOOKUP($B643,Ref_Acuerdos!$A:$E,3,FALSE())),1,0),0)</f>
        <v>0</v>
      </c>
      <c r="I643" s="4" t="n">
        <f aca="false">IFERROR(IF(AND(VLOOKUP($B643,Ref_Acuerdos!$A:$E,2,FALSE())="PTA",$A643&gt;=VLOOKUP($B643,Ref_Acuerdos!$A:$E,3,FALSE())),1,0),0)</f>
        <v>0</v>
      </c>
      <c r="J643" s="7" t="str">
        <f aca="false">IFERROR(IF($A643&gt;=VLOOKUP($B643,Ref_Acuerdos!$A:$E,3,FALSE()),VLOOKUP($B643,Ref_Acuerdos!$A:$E,4,FALSE()),""),"")</f>
        <v/>
      </c>
      <c r="K643" s="4" t="str">
        <f aca="false">IFERROR(IF($A643&gt;=VLOOKUP($B643,Ref_Acuerdos!$A:$E,3,FALSE()),VLOOKUP($B643,Ref_Acuerdos!$A:$E,5,FALSE()),"Sin FTA/PTA vigente ese año - arancel NMF"),"Sin FTA/PTA identificado - arancel NMF")</f>
        <v>Sin FTA/PTA identificado - arancel NMF</v>
      </c>
    </row>
    <row r="644" customFormat="false" ht="15" hidden="false" customHeight="false" outlineLevel="0" collapsed="false">
      <c r="A644" s="2" t="n">
        <v>2018</v>
      </c>
      <c r="B644" s="2" t="s">
        <v>18</v>
      </c>
      <c r="C644" s="4" t="str">
        <f aca="false">IFERROR(VLOOKUP($B644,Ref_Continente!$A:$B,2,FALSE()),"Sin clasificar")</f>
        <v>Asia</v>
      </c>
      <c r="D644" s="5" t="n">
        <v>408</v>
      </c>
      <c r="E644" s="6" t="n">
        <v>168</v>
      </c>
      <c r="F644" s="6" t="n">
        <v>13800</v>
      </c>
      <c r="G644" s="5" t="n">
        <v>39567978723.4</v>
      </c>
      <c r="H644" s="4" t="n">
        <f aca="false">IFERROR(IF(AND(VLOOKUP($B644,Ref_Acuerdos!$A:$E,2,FALSE())="FTA",$A644&gt;=VLOOKUP($B644,Ref_Acuerdos!$A:$E,3,FALSE())),1,0),0)</f>
        <v>0</v>
      </c>
      <c r="I644" s="4" t="n">
        <f aca="false">IFERROR(IF(AND(VLOOKUP($B644,Ref_Acuerdos!$A:$E,2,FALSE())="PTA",$A644&gt;=VLOOKUP($B644,Ref_Acuerdos!$A:$E,3,FALSE())),1,0),0)</f>
        <v>0</v>
      </c>
      <c r="J644" s="7" t="str">
        <f aca="false">IFERROR(IF($A644&gt;=VLOOKUP($B644,Ref_Acuerdos!$A:$E,3,FALSE()),VLOOKUP($B644,Ref_Acuerdos!$A:$E,4,FALSE()),""),"")</f>
        <v/>
      </c>
      <c r="K644" s="4" t="str">
        <f aca="false">IFERROR(IF($A644&gt;=VLOOKUP($B644,Ref_Acuerdos!$A:$E,3,FALSE()),VLOOKUP($B644,Ref_Acuerdos!$A:$E,5,FALSE()),"Sin FTA/PTA vigente ese año - arancel NMF"),"Sin FTA/PTA identificado - arancel NMF")</f>
        <v>Sin FTA/PTA identificado - arancel NMF</v>
      </c>
    </row>
    <row r="645" customFormat="false" ht="15" hidden="false" customHeight="false" outlineLevel="0" collapsed="false">
      <c r="A645" s="2" t="n">
        <v>2018</v>
      </c>
      <c r="B645" s="2" t="s">
        <v>102</v>
      </c>
      <c r="C645" s="4" t="str">
        <f aca="false">IFERROR(VLOOKUP($B645,Ref_Continente!$A:$B,2,FALSE()),"Sin clasificar")</f>
        <v>Asia</v>
      </c>
      <c r="D645" s="5" t="n">
        <v>389</v>
      </c>
      <c r="E645" s="6" t="n">
        <v>138.7</v>
      </c>
      <c r="F645" s="6" t="n">
        <v>18800</v>
      </c>
      <c r="G645" s="5" t="n">
        <v>377123710560.61</v>
      </c>
      <c r="H645" s="4" t="n">
        <f aca="false">IFERROR(IF(AND(VLOOKUP($B645,Ref_Acuerdos!$A:$E,2,FALSE())="FTA",$A645&gt;=VLOOKUP($B645,Ref_Acuerdos!$A:$E,3,FALSE())),1,0),0)</f>
        <v>0</v>
      </c>
      <c r="I645" s="4" t="n">
        <f aca="false">IFERROR(IF(AND(VLOOKUP($B645,Ref_Acuerdos!$A:$E,2,FALSE())="PTA",$A645&gt;=VLOOKUP($B645,Ref_Acuerdos!$A:$E,3,FALSE())),1,0),0)</f>
        <v>0</v>
      </c>
      <c r="J645" s="7" t="str">
        <f aca="false">IFERROR(IF($A645&gt;=VLOOKUP($B645,Ref_Acuerdos!$A:$E,3,FALSE()),VLOOKUP($B645,Ref_Acuerdos!$A:$E,4,FALSE()),""),"")</f>
        <v/>
      </c>
      <c r="K645" s="4" t="str">
        <f aca="false">IFERROR(IF($A645&gt;=VLOOKUP($B645,Ref_Acuerdos!$A:$E,3,FALSE()),VLOOKUP($B645,Ref_Acuerdos!$A:$E,5,FALSE()),"Sin FTA/PTA vigente ese año - arancel NMF"),"Sin FTA/PTA identificado - arancel NMF")</f>
        <v>Sin FTA/PTA identificado - arancel NMF</v>
      </c>
    </row>
    <row r="646" customFormat="false" ht="15" hidden="false" customHeight="false" outlineLevel="0" collapsed="false">
      <c r="A646" s="2" t="n">
        <v>2018</v>
      </c>
      <c r="B646" s="2" t="s">
        <v>34</v>
      </c>
      <c r="C646" s="4" t="str">
        <f aca="false">IFERROR(VLOOKUP($B646,Ref_Continente!$A:$B,2,FALSE()),"Sin clasificar")</f>
        <v>Europe</v>
      </c>
      <c r="D646" s="5" t="n">
        <v>236</v>
      </c>
      <c r="E646" s="6" t="n">
        <v>57.6</v>
      </c>
      <c r="F646" s="6" t="n">
        <v>11900</v>
      </c>
      <c r="G646" s="5" t="n">
        <v>25754001367.54</v>
      </c>
      <c r="H646" s="4" t="n">
        <f aca="false">IFERROR(IF(AND(VLOOKUP($B646,Ref_Acuerdos!$A:$E,2,FALSE())="FTA",$A646&gt;=VLOOKUP($B646,Ref_Acuerdos!$A:$E,3,FALSE())),1,0),0)</f>
        <v>1</v>
      </c>
      <c r="I646" s="4" t="n">
        <f aca="false">IFERROR(IF(AND(VLOOKUP($B646,Ref_Acuerdos!$A:$E,2,FALSE())="PTA",$A646&gt;=VLOOKUP($B646,Ref_Acuerdos!$A:$E,3,FALSE())),1,0),0)</f>
        <v>0</v>
      </c>
      <c r="J646" s="7" t="n">
        <f aca="false">IFERROR(IF($A646&gt;=VLOOKUP($B646,Ref_Acuerdos!$A:$E,3,FALSE()),VLOOKUP($B646,Ref_Acuerdos!$A:$E,4,FALSE()),""),"")</f>
        <v>0</v>
      </c>
      <c r="K646" s="4" t="str">
        <f aca="false">IFERROR(IF($A646&gt;=VLOOKUP($B646,Ref_Acuerdos!$A:$E,3,FALSE()),VLOOKUP($B646,Ref_Acuerdos!$A:$E,5,FALSE()),"Sin FTA/PTA vigente ese año - arancel NMF"),"Sin FTA/PTA identificado - arancel NMF")</f>
        <v>UE-Ecuador Acuerdo Multipartes, vigente desde ene-2017</v>
      </c>
    </row>
    <row r="647" customFormat="false" ht="15" hidden="false" customHeight="false" outlineLevel="0" collapsed="false">
      <c r="A647" s="2" t="n">
        <v>2018</v>
      </c>
      <c r="B647" s="2" t="s">
        <v>50</v>
      </c>
      <c r="C647" s="4" t="str">
        <f aca="false">IFERROR(VLOOKUP($B647,Ref_Continente!$A:$B,2,FALSE()),"Sin clasificar")</f>
        <v>North America</v>
      </c>
      <c r="D647" s="5" t="n">
        <v>192</v>
      </c>
      <c r="E647" s="6" t="n">
        <v>27.9</v>
      </c>
      <c r="F647" s="6" t="n">
        <v>2350</v>
      </c>
      <c r="G647" s="5" t="n">
        <v>16403864617.85</v>
      </c>
      <c r="H647" s="4" t="n">
        <f aca="false">IFERROR(IF(AND(VLOOKUP($B647,Ref_Acuerdos!$A:$E,2,FALSE())="FTA",$A647&gt;=VLOOKUP($B647,Ref_Acuerdos!$A:$E,3,FALSE())),1,0),0)</f>
        <v>0</v>
      </c>
      <c r="I647" s="4" t="n">
        <f aca="false">IFERROR(IF(AND(VLOOKUP($B647,Ref_Acuerdos!$A:$E,2,FALSE())="PTA",$A647&gt;=VLOOKUP($B647,Ref_Acuerdos!$A:$E,3,FALSE())),1,0),0)</f>
        <v>0</v>
      </c>
      <c r="J647" s="7" t="str">
        <f aca="false">IFERROR(IF($A647&gt;=VLOOKUP($B647,Ref_Acuerdos!$A:$E,3,FALSE()),VLOOKUP($B647,Ref_Acuerdos!$A:$E,4,FALSE()),""),"")</f>
        <v/>
      </c>
      <c r="K647" s="4" t="str">
        <f aca="false">IFERROR(IF($A647&gt;=VLOOKUP($B647,Ref_Acuerdos!$A:$E,3,FALSE()),VLOOKUP($B647,Ref_Acuerdos!$A:$E,5,FALSE()),"Sin FTA/PTA vigente ese año - arancel NMF"),"Sin FTA/PTA identificado - arancel NMF")</f>
        <v>Sin FTA/PTA identificado - arancel NMF</v>
      </c>
    </row>
    <row r="648" customFormat="false" ht="15" hidden="false" customHeight="false" outlineLevel="0" collapsed="false">
      <c r="A648" s="2" t="n">
        <v>2018</v>
      </c>
      <c r="B648" s="2" t="s">
        <v>108</v>
      </c>
      <c r="C648" s="4" t="str">
        <f aca="false">IFERROR(VLOOKUP($B648,Ref_Continente!$A:$B,2,FALSE()),"Sin clasificar")</f>
        <v>Europe</v>
      </c>
      <c r="D648" s="5" t="n">
        <v>127</v>
      </c>
      <c r="E648" s="6" t="n">
        <v>47</v>
      </c>
      <c r="F648" s="6" t="n">
        <v>9800</v>
      </c>
      <c r="G648" s="5" t="n">
        <v>725568717468</v>
      </c>
      <c r="H648" s="4" t="n">
        <f aca="false">IFERROR(IF(AND(VLOOKUP($B648,Ref_Acuerdos!$A:$E,2,FALSE())="FTA",$A648&gt;=VLOOKUP($B648,Ref_Acuerdos!$A:$E,3,FALSE())),1,0),0)</f>
        <v>0</v>
      </c>
      <c r="I648" s="4" t="n">
        <f aca="false">IFERROR(IF(AND(VLOOKUP($B648,Ref_Acuerdos!$A:$E,2,FALSE())="PTA",$A648&gt;=VLOOKUP($B648,Ref_Acuerdos!$A:$E,3,FALSE())),1,0),0)</f>
        <v>0</v>
      </c>
      <c r="J648" s="7" t="str">
        <f aca="false">IFERROR(IF($A648&gt;=VLOOKUP($B648,Ref_Acuerdos!$A:$E,3,FALSE()),VLOOKUP($B648,Ref_Acuerdos!$A:$E,4,FALSE()),""),"")</f>
        <v/>
      </c>
      <c r="K648" s="4" t="str">
        <f aca="false">IFERROR(IF($A648&gt;=VLOOKUP($B648,Ref_Acuerdos!$A:$E,3,FALSE()),VLOOKUP($B648,Ref_Acuerdos!$A:$E,5,FALSE()),"Sin FTA/PTA vigente ese año - arancel NMF"),"Sin FTA/PTA identificado - arancel NMF")</f>
        <v>Sin FTA/PTA vigente ese año - arancel NMF</v>
      </c>
    </row>
    <row r="649" customFormat="false" ht="15" hidden="false" customHeight="false" outlineLevel="0" collapsed="false">
      <c r="A649" s="2" t="n">
        <v>2018</v>
      </c>
      <c r="B649" s="2" t="s">
        <v>51</v>
      </c>
      <c r="C649" s="4" t="str">
        <f aca="false">IFERROR(VLOOKUP($B649,Ref_Continente!$A:$B,2,FALSE()),"Sin clasificar")</f>
        <v>North America</v>
      </c>
      <c r="D649" s="5" t="n">
        <v>40</v>
      </c>
      <c r="E649" s="6" t="n">
        <v>4.5</v>
      </c>
      <c r="F649" s="6" t="n">
        <v>1800</v>
      </c>
      <c r="G649" s="5" t="n">
        <v>24067750760.5</v>
      </c>
      <c r="H649" s="4" t="n">
        <f aca="false">IFERROR(IF(AND(VLOOKUP($B649,Ref_Acuerdos!$A:$E,2,FALSE())="FTA",$A649&gt;=VLOOKUP($B649,Ref_Acuerdos!$A:$E,3,FALSE())),1,0),0)</f>
        <v>0</v>
      </c>
      <c r="I649" s="4" t="n">
        <f aca="false">IFERROR(IF(AND(VLOOKUP($B649,Ref_Acuerdos!$A:$E,2,FALSE())="PTA",$A649&gt;=VLOOKUP($B649,Ref_Acuerdos!$A:$E,3,FALSE())),1,0),0)</f>
        <v>0</v>
      </c>
      <c r="J649" s="7" t="str">
        <f aca="false">IFERROR(IF($A649&gt;=VLOOKUP($B649,Ref_Acuerdos!$A:$E,3,FALSE()),VLOOKUP($B649,Ref_Acuerdos!$A:$E,4,FALSE()),""),"")</f>
        <v/>
      </c>
      <c r="K649" s="4" t="str">
        <f aca="false">IFERROR(IF($A649&gt;=VLOOKUP($B649,Ref_Acuerdos!$A:$E,3,FALSE()),VLOOKUP($B649,Ref_Acuerdos!$A:$E,5,FALSE()),"Sin FTA/PTA vigente ese año - arancel NMF"),"Sin FTA/PTA identificado - arancel NMF")</f>
        <v>Sin FTA/PTA identificado - arancel NMF</v>
      </c>
    </row>
    <row r="650" customFormat="false" ht="15" hidden="false" customHeight="false" outlineLevel="0" collapsed="false">
      <c r="A650" s="2" t="n">
        <v>2018</v>
      </c>
      <c r="B650" s="2" t="s">
        <v>97</v>
      </c>
      <c r="C650" s="4" t="str">
        <f aca="false">IFERROR(VLOOKUP($B650,Ref_Continente!$A:$B,2,FALSE()),"Sin clasificar")</f>
        <v>North America</v>
      </c>
      <c r="D650" s="5" t="n">
        <v>39</v>
      </c>
      <c r="E650" s="6" t="n">
        <v>5.1</v>
      </c>
      <c r="F650" s="6" t="n">
        <v>2900</v>
      </c>
      <c r="G650" s="5"/>
      <c r="H650" s="4" t="n">
        <f aca="false">IFERROR(IF(AND(VLOOKUP($B650,Ref_Acuerdos!$A:$E,2,FALSE())="FTA",$A650&gt;=VLOOKUP($B650,Ref_Acuerdos!$A:$E,3,FALSE())),1,0),0)</f>
        <v>0</v>
      </c>
      <c r="I650" s="4" t="n">
        <f aca="false">IFERROR(IF(AND(VLOOKUP($B650,Ref_Acuerdos!$A:$E,2,FALSE())="PTA",$A650&gt;=VLOOKUP($B650,Ref_Acuerdos!$A:$E,3,FALSE())),1,0),0)</f>
        <v>0</v>
      </c>
      <c r="J650" s="7" t="str">
        <f aca="false">IFERROR(IF($A650&gt;=VLOOKUP($B650,Ref_Acuerdos!$A:$E,3,FALSE()),VLOOKUP($B650,Ref_Acuerdos!$A:$E,4,FALSE()),""),"")</f>
        <v/>
      </c>
      <c r="K650" s="4" t="str">
        <f aca="false">IFERROR(IF($A650&gt;=VLOOKUP($B650,Ref_Acuerdos!$A:$E,3,FALSE()),VLOOKUP($B650,Ref_Acuerdos!$A:$E,5,FALSE()),"Sin FTA/PTA vigente ese año - arancel NMF"),"Sin FTA/PTA identificado - arancel NMF")</f>
        <v>Sin FTA/PTA identificado - arancel NMF</v>
      </c>
    </row>
    <row r="651" customFormat="false" ht="15" hidden="false" customHeight="false" outlineLevel="0" collapsed="false">
      <c r="A651" s="2" t="n">
        <v>2018</v>
      </c>
      <c r="B651" s="2" t="s">
        <v>17</v>
      </c>
      <c r="C651" s="4" t="str">
        <f aca="false">IFERROR(VLOOKUP($B651,Ref_Continente!$A:$B,2,FALSE()),"Sin clasificar")</f>
        <v>North America</v>
      </c>
      <c r="D651" s="5" t="n">
        <v>34</v>
      </c>
      <c r="E651" s="6" t="n">
        <v>2.5</v>
      </c>
      <c r="F651" s="6"/>
      <c r="G651" s="5"/>
      <c r="H651" s="4" t="n">
        <f aca="false">IFERROR(IF(AND(VLOOKUP($B651,Ref_Acuerdos!$A:$E,2,FALSE())="FTA",$A651&gt;=VLOOKUP($B651,Ref_Acuerdos!$A:$E,3,FALSE())),1,0),0)</f>
        <v>0</v>
      </c>
      <c r="I651" s="4" t="n">
        <f aca="false">IFERROR(IF(AND(VLOOKUP($B651,Ref_Acuerdos!$A:$E,2,FALSE())="PTA",$A651&gt;=VLOOKUP($B651,Ref_Acuerdos!$A:$E,3,FALSE())),1,0),0)</f>
        <v>0</v>
      </c>
      <c r="J651" s="7" t="str">
        <f aca="false">IFERROR(IF($A651&gt;=VLOOKUP($B651,Ref_Acuerdos!$A:$E,3,FALSE()),VLOOKUP($B651,Ref_Acuerdos!$A:$E,4,FALSE()),""),"")</f>
        <v/>
      </c>
      <c r="K651" s="4" t="str">
        <f aca="false">IFERROR(IF($A651&gt;=VLOOKUP($B651,Ref_Acuerdos!$A:$E,3,FALSE()),VLOOKUP($B651,Ref_Acuerdos!$A:$E,5,FALSE()),"Sin FTA/PTA vigente ese año - arancel NMF"),"Sin FTA/PTA identificado - arancel NMF")</f>
        <v>Sin FTA/PTA identificado - arancel NMF</v>
      </c>
    </row>
    <row r="652" customFormat="false" ht="15" hidden="false" customHeight="false" outlineLevel="0" collapsed="false">
      <c r="A652" s="2" t="n">
        <v>2018</v>
      </c>
      <c r="B652" s="2" t="s">
        <v>28</v>
      </c>
      <c r="C652" s="4" t="str">
        <f aca="false">IFERROR(VLOOKUP($B652,Ref_Continente!$A:$B,2,FALSE()),"Sin clasificar")</f>
        <v>Asia</v>
      </c>
      <c r="D652" s="5" t="n">
        <v>19</v>
      </c>
      <c r="E652" s="6" t="n">
        <v>9.1</v>
      </c>
      <c r="F652" s="6" t="n">
        <v>17700</v>
      </c>
      <c r="G652" s="5" t="n">
        <v>361731070995.73</v>
      </c>
      <c r="H652" s="4" t="n">
        <f aca="false">IFERROR(IF(AND(VLOOKUP($B652,Ref_Acuerdos!$A:$E,2,FALSE())="FTA",$A652&gt;=VLOOKUP($B652,Ref_Acuerdos!$A:$E,3,FALSE())),1,0),0)</f>
        <v>0</v>
      </c>
      <c r="I652" s="4" t="n">
        <f aca="false">IFERROR(IF(AND(VLOOKUP($B652,Ref_Acuerdos!$A:$E,2,FALSE())="PTA",$A652&gt;=VLOOKUP($B652,Ref_Acuerdos!$A:$E,3,FALSE())),1,0),0)</f>
        <v>0</v>
      </c>
      <c r="J652" s="7" t="str">
        <f aca="false">IFERROR(IF($A652&gt;=VLOOKUP($B652,Ref_Acuerdos!$A:$E,3,FALSE()),VLOOKUP($B652,Ref_Acuerdos!$A:$E,4,FALSE()),""),"")</f>
        <v/>
      </c>
      <c r="K652" s="4" t="str">
        <f aca="false">IFERROR(IF($A652&gt;=VLOOKUP($B652,Ref_Acuerdos!$A:$E,3,FALSE()),VLOOKUP($B652,Ref_Acuerdos!$A:$E,5,FALSE()),"Sin FTA/PTA vigente ese año - arancel NMF"),"Sin FTA/PTA identificado - arancel NMF")</f>
        <v>Sin FTA/PTA identificado - arancel NMF</v>
      </c>
    </row>
    <row r="653" customFormat="false" ht="15" hidden="false" customHeight="false" outlineLevel="0" collapsed="false">
      <c r="A653" s="2" t="n">
        <v>2019</v>
      </c>
      <c r="B653" s="2" t="s">
        <v>96</v>
      </c>
      <c r="C653" s="4" t="str">
        <f aca="false">IFERROR(VLOOKUP($B653,Ref_Continente!$A:$B,2,FALSE()),"Sin clasificar")</f>
        <v>Europe</v>
      </c>
      <c r="D653" s="5" t="n">
        <v>6072038</v>
      </c>
      <c r="E653" s="6" t="n">
        <v>1506294.2</v>
      </c>
      <c r="F653" s="6" t="n">
        <v>12000</v>
      </c>
      <c r="G653" s="5" t="n">
        <v>1693115002708.32</v>
      </c>
      <c r="H653" s="4" t="n">
        <f aca="false">IFERROR(IF(AND(VLOOKUP($B653,Ref_Acuerdos!$A:$E,2,FALSE())="FTA",$A653&gt;=VLOOKUP($B653,Ref_Acuerdos!$A:$E,3,FALSE())),1,0),0)</f>
        <v>0</v>
      </c>
      <c r="I653" s="4" t="n">
        <f aca="false">IFERROR(IF(AND(VLOOKUP($B653,Ref_Acuerdos!$A:$E,2,FALSE())="PTA",$A653&gt;=VLOOKUP($B653,Ref_Acuerdos!$A:$E,3,FALSE())),1,0),0)</f>
        <v>0</v>
      </c>
      <c r="J653" s="7" t="str">
        <f aca="false">IFERROR(IF($A653&gt;=VLOOKUP($B653,Ref_Acuerdos!$A:$E,3,FALSE()),VLOOKUP($B653,Ref_Acuerdos!$A:$E,4,FALSE()),""),"")</f>
        <v/>
      </c>
      <c r="K653" s="4" t="str">
        <f aca="false">IFERROR(IF($A653&gt;=VLOOKUP($B653,Ref_Acuerdos!$A:$E,3,FALSE()),VLOOKUP($B653,Ref_Acuerdos!$A:$E,5,FALSE()),"Sin FTA/PTA vigente ese año - arancel NMF"),"Sin FTA/PTA identificado - arancel NMF")</f>
        <v>Sin FTA/PTA identificado - arancel NMF</v>
      </c>
    </row>
    <row r="654" customFormat="false" ht="15" hidden="false" customHeight="false" outlineLevel="0" collapsed="false">
      <c r="A654" s="2" t="n">
        <v>2019</v>
      </c>
      <c r="B654" s="2" t="s">
        <v>61</v>
      </c>
      <c r="C654" s="4" t="str">
        <f aca="false">IFERROR(VLOOKUP($B654,Ref_Continente!$A:$B,2,FALSE()),"Sin clasificar")</f>
        <v>Asia</v>
      </c>
      <c r="D654" s="5" t="n">
        <v>5604035</v>
      </c>
      <c r="E654" s="6" t="n">
        <v>946016.6</v>
      </c>
      <c r="F654" s="6" t="n">
        <v>14500</v>
      </c>
      <c r="G654" s="5" t="n">
        <v>5117993853016.51</v>
      </c>
      <c r="H654" s="4" t="n">
        <f aca="false">IFERROR(IF(AND(VLOOKUP($B654,Ref_Acuerdos!$A:$E,2,FALSE())="FTA",$A654&gt;=VLOOKUP($B654,Ref_Acuerdos!$A:$E,3,FALSE())),1,0),0)</f>
        <v>0</v>
      </c>
      <c r="I654" s="4" t="n">
        <f aca="false">IFERROR(IF(AND(VLOOKUP($B654,Ref_Acuerdos!$A:$E,2,FALSE())="PTA",$A654&gt;=VLOOKUP($B654,Ref_Acuerdos!$A:$E,3,FALSE())),1,0),0)</f>
        <v>0</v>
      </c>
      <c r="J654" s="7" t="str">
        <f aca="false">IFERROR(IF($A654&gt;=VLOOKUP($B654,Ref_Acuerdos!$A:$E,3,FALSE()),VLOOKUP($B654,Ref_Acuerdos!$A:$E,4,FALSE()),""),"")</f>
        <v/>
      </c>
      <c r="K654" s="4" t="str">
        <f aca="false">IFERROR(IF($A654&gt;=VLOOKUP($B654,Ref_Acuerdos!$A:$E,3,FALSE()),VLOOKUP($B654,Ref_Acuerdos!$A:$E,5,FALSE()),"Sin FTA/PTA vigente ese año - arancel NMF"),"Sin FTA/PTA identificado - arancel NMF")</f>
        <v>Sin FTA/PTA identificado - arancel NMF</v>
      </c>
    </row>
    <row r="655" customFormat="false" ht="15" hidden="false" customHeight="false" outlineLevel="0" collapsed="false">
      <c r="A655" s="2" t="n">
        <v>2019</v>
      </c>
      <c r="B655" s="2" t="s">
        <v>114</v>
      </c>
      <c r="C655" s="4" t="str">
        <f aca="false">IFERROR(VLOOKUP($B655,Ref_Continente!$A:$B,2,FALSE()),"Sin clasificar")</f>
        <v>North America</v>
      </c>
      <c r="D655" s="5" t="n">
        <v>2044464</v>
      </c>
      <c r="E655" s="6" t="n">
        <v>395437.2</v>
      </c>
      <c r="F655" s="6" t="n">
        <v>4550</v>
      </c>
      <c r="G655" s="5" t="n">
        <v>21380976119000</v>
      </c>
      <c r="H655" s="4" t="n">
        <f aca="false">IFERROR(IF(AND(VLOOKUP($B655,Ref_Acuerdos!$A:$E,2,FALSE())="FTA",$A655&gt;=VLOOKUP($B655,Ref_Acuerdos!$A:$E,3,FALSE())),1,0),0)</f>
        <v>0</v>
      </c>
      <c r="I655" s="4" t="n">
        <f aca="false">IFERROR(IF(AND(VLOOKUP($B655,Ref_Acuerdos!$A:$E,2,FALSE())="PTA",$A655&gt;=VLOOKUP($B655,Ref_Acuerdos!$A:$E,3,FALSE())),1,0),0)</f>
        <v>0</v>
      </c>
      <c r="J655" s="7" t="str">
        <f aca="false">IFERROR(IF($A655&gt;=VLOOKUP($B655,Ref_Acuerdos!$A:$E,3,FALSE()),VLOOKUP($B655,Ref_Acuerdos!$A:$E,4,FALSE()),""),"")</f>
        <v/>
      </c>
      <c r="K655" s="4" t="str">
        <f aca="false">IFERROR(IF($A655&gt;=VLOOKUP($B655,Ref_Acuerdos!$A:$E,3,FALSE()),VLOOKUP($B655,Ref_Acuerdos!$A:$E,5,FALSE()),"Sin FTA/PTA vigente ese año - arancel NMF"),"Sin FTA/PTA identificado - arancel NMF")</f>
        <v>Sin FTA/PTA identificado - arancel NMF</v>
      </c>
    </row>
    <row r="656" customFormat="false" ht="15" hidden="false" customHeight="false" outlineLevel="0" collapsed="false">
      <c r="A656" s="2" t="n">
        <v>2019</v>
      </c>
      <c r="B656" s="2" t="s">
        <v>77</v>
      </c>
      <c r="C656" s="4" t="str">
        <f aca="false">IFERROR(VLOOKUP($B656,Ref_Continente!$A:$B,2,FALSE()),"Sin clasificar")</f>
        <v>Europe</v>
      </c>
      <c r="D656" s="5" t="n">
        <v>1414098</v>
      </c>
      <c r="E656" s="6" t="n">
        <v>299082.9</v>
      </c>
      <c r="F656" s="6" t="n">
        <v>9300</v>
      </c>
      <c r="G656" s="5" t="n">
        <v>928903005576.47</v>
      </c>
      <c r="H656" s="4" t="n">
        <f aca="false">IFERROR(IF(AND(VLOOKUP($B656,Ref_Acuerdos!$A:$E,2,FALSE())="FTA",$A656&gt;=VLOOKUP($B656,Ref_Acuerdos!$A:$E,3,FALSE())),1,0),0)</f>
        <v>1</v>
      </c>
      <c r="I656" s="4" t="n">
        <f aca="false">IFERROR(IF(AND(VLOOKUP($B656,Ref_Acuerdos!$A:$E,2,FALSE())="PTA",$A656&gt;=VLOOKUP($B656,Ref_Acuerdos!$A:$E,3,FALSE())),1,0),0)</f>
        <v>0</v>
      </c>
      <c r="J656" s="7" t="n">
        <f aca="false">IFERROR(IF($A656&gt;=VLOOKUP($B656,Ref_Acuerdos!$A:$E,3,FALSE()),VLOOKUP($B656,Ref_Acuerdos!$A:$E,4,FALSE()),""),"")</f>
        <v>0</v>
      </c>
      <c r="K656" s="4" t="str">
        <f aca="false">IFERROR(IF($A656&gt;=VLOOKUP($B656,Ref_Acuerdos!$A:$E,3,FALSE()),VLOOKUP($B656,Ref_Acuerdos!$A:$E,5,FALSE()),"Sin FTA/PTA vigente ese año - arancel NMF"),"Sin FTA/PTA identificado - arancel NMF")</f>
        <v>UE-Ecuador Acuerdo Multipartes, vigente desde ene-2017</v>
      </c>
    </row>
    <row r="657" customFormat="false" ht="15" hidden="false" customHeight="false" outlineLevel="0" collapsed="false">
      <c r="A657" s="2" t="n">
        <v>2019</v>
      </c>
      <c r="B657" s="2" t="s">
        <v>105</v>
      </c>
      <c r="C657" s="4" t="str">
        <f aca="false">IFERROR(VLOOKUP($B657,Ref_Continente!$A:$B,2,FALSE()),"Sin clasificar")</f>
        <v>Europe</v>
      </c>
      <c r="D657" s="5" t="n">
        <v>392254</v>
      </c>
      <c r="E657" s="6" t="n">
        <v>83375.4</v>
      </c>
      <c r="F657" s="6" t="n">
        <v>8700</v>
      </c>
      <c r="G657" s="5" t="n">
        <v>1403496387686.27</v>
      </c>
      <c r="H657" s="4" t="n">
        <f aca="false">IFERROR(IF(AND(VLOOKUP($B657,Ref_Acuerdos!$A:$E,2,FALSE())="FTA",$A657&gt;=VLOOKUP($B657,Ref_Acuerdos!$A:$E,3,FALSE())),1,0),0)</f>
        <v>1</v>
      </c>
      <c r="I657" s="4" t="n">
        <f aca="false">IFERROR(IF(AND(VLOOKUP($B657,Ref_Acuerdos!$A:$E,2,FALSE())="PTA",$A657&gt;=VLOOKUP($B657,Ref_Acuerdos!$A:$E,3,FALSE())),1,0),0)</f>
        <v>0</v>
      </c>
      <c r="J657" s="7" t="n">
        <f aca="false">IFERROR(IF($A657&gt;=VLOOKUP($B657,Ref_Acuerdos!$A:$E,3,FALSE()),VLOOKUP($B657,Ref_Acuerdos!$A:$E,4,FALSE()),""),"")</f>
        <v>0</v>
      </c>
      <c r="K657" s="4" t="str">
        <f aca="false">IFERROR(IF($A657&gt;=VLOOKUP($B657,Ref_Acuerdos!$A:$E,3,FALSE()),VLOOKUP($B657,Ref_Acuerdos!$A:$E,5,FALSE()),"Sin FTA/PTA vigente ese año - arancel NMF"),"Sin FTA/PTA identificado - arancel NMF")</f>
        <v>UE-Ecuador Acuerdo Multipartes, vigente desde ene-2017</v>
      </c>
    </row>
    <row r="658" customFormat="false" ht="15" hidden="false" customHeight="false" outlineLevel="0" collapsed="false">
      <c r="A658" s="2" t="n">
        <v>2019</v>
      </c>
      <c r="B658" s="2" t="s">
        <v>115</v>
      </c>
      <c r="C658" s="4" t="str">
        <f aca="false">IFERROR(VLOOKUP($B658,Ref_Continente!$A:$B,2,FALSE()),"Sin clasificar")</f>
        <v>Europe</v>
      </c>
      <c r="D658" s="5" t="n">
        <v>374828</v>
      </c>
      <c r="E658" s="6" t="n">
        <v>86305.6</v>
      </c>
      <c r="F658" s="6" t="n">
        <v>11</v>
      </c>
      <c r="G658" s="5" t="n">
        <v>153883047509.58</v>
      </c>
      <c r="H658" s="4" t="n">
        <f aca="false">IFERROR(IF(AND(VLOOKUP($B658,Ref_Acuerdos!$A:$E,2,FALSE())="FTA",$A658&gt;=VLOOKUP($B658,Ref_Acuerdos!$A:$E,3,FALSE())),1,0),0)</f>
        <v>0</v>
      </c>
      <c r="I658" s="4" t="n">
        <f aca="false">IFERROR(IF(AND(VLOOKUP($B658,Ref_Acuerdos!$A:$E,2,FALSE())="PTA",$A658&gt;=VLOOKUP($B658,Ref_Acuerdos!$A:$E,3,FALSE())),1,0),0)</f>
        <v>0</v>
      </c>
      <c r="J658" s="7" t="str">
        <f aca="false">IFERROR(IF($A658&gt;=VLOOKUP($B658,Ref_Acuerdos!$A:$E,3,FALSE()),VLOOKUP($B658,Ref_Acuerdos!$A:$E,4,FALSE()),""),"")</f>
        <v/>
      </c>
      <c r="K658" s="4" t="str">
        <f aca="false">IFERROR(IF($A658&gt;=VLOOKUP($B658,Ref_Acuerdos!$A:$E,3,FALSE()),VLOOKUP($B658,Ref_Acuerdos!$A:$E,5,FALSE()),"Sin FTA/PTA vigente ese año - arancel NMF"),"Sin FTA/PTA identificado - arancel NMF")</f>
        <v>Sin FTA/PTA identificado - arancel NMF</v>
      </c>
    </row>
    <row r="659" customFormat="false" ht="15" hidden="false" customHeight="false" outlineLevel="0" collapsed="false">
      <c r="A659" s="2" t="n">
        <v>2019</v>
      </c>
      <c r="B659" s="2" t="s">
        <v>12</v>
      </c>
      <c r="C659" s="4" t="str">
        <f aca="false">IFERROR(VLOOKUP($B659,Ref_Continente!$A:$B,2,FALSE()),"Sin clasificar")</f>
        <v>Oceania</v>
      </c>
      <c r="D659" s="5" t="n">
        <v>241795</v>
      </c>
      <c r="E659" s="6" t="n">
        <v>38990.5</v>
      </c>
      <c r="F659" s="6" t="n">
        <v>14000</v>
      </c>
      <c r="G659" s="5" t="n">
        <v>1398349602956.35</v>
      </c>
      <c r="H659" s="4" t="n">
        <f aca="false">IFERROR(IF(AND(VLOOKUP($B659,Ref_Acuerdos!$A:$E,2,FALSE())="FTA",$A659&gt;=VLOOKUP($B659,Ref_Acuerdos!$A:$E,3,FALSE())),1,0),0)</f>
        <v>0</v>
      </c>
      <c r="I659" s="4" t="n">
        <f aca="false">IFERROR(IF(AND(VLOOKUP($B659,Ref_Acuerdos!$A:$E,2,FALSE())="PTA",$A659&gt;=VLOOKUP($B659,Ref_Acuerdos!$A:$E,3,FALSE())),1,0),0)</f>
        <v>0</v>
      </c>
      <c r="J659" s="7" t="str">
        <f aca="false">IFERROR(IF($A659&gt;=VLOOKUP($B659,Ref_Acuerdos!$A:$E,3,FALSE()),VLOOKUP($B659,Ref_Acuerdos!$A:$E,4,FALSE()),""),"")</f>
        <v/>
      </c>
      <c r="K659" s="4" t="str">
        <f aca="false">IFERROR(IF($A659&gt;=VLOOKUP($B659,Ref_Acuerdos!$A:$E,3,FALSE()),VLOOKUP($B659,Ref_Acuerdos!$A:$E,5,FALSE()),"Sin FTA/PTA vigente ese año - arancel NMF"),"Sin FTA/PTA identificado - arancel NMF")</f>
        <v>Sin FTA/PTA identificado - arancel NMF</v>
      </c>
    </row>
    <row r="660" customFormat="false" ht="15" hidden="false" customHeight="false" outlineLevel="0" collapsed="false">
      <c r="A660" s="2" t="n">
        <v>2019</v>
      </c>
      <c r="B660" s="2" t="s">
        <v>63</v>
      </c>
      <c r="C660" s="4" t="str">
        <f aca="false">IFERROR(VLOOKUP($B660,Ref_Continente!$A:$B,2,FALSE()),"Sin clasificar")</f>
        <v>Asia</v>
      </c>
      <c r="D660" s="5" t="n">
        <v>164563</v>
      </c>
      <c r="E660" s="6" t="n">
        <v>38400.4</v>
      </c>
      <c r="F660" s="6" t="n">
        <v>13600</v>
      </c>
      <c r="G660" s="5" t="n">
        <v>181667184854.5</v>
      </c>
      <c r="H660" s="4" t="n">
        <f aca="false">IFERROR(IF(AND(VLOOKUP($B660,Ref_Acuerdos!$A:$E,2,FALSE())="FTA",$A660&gt;=VLOOKUP($B660,Ref_Acuerdos!$A:$E,3,FALSE())),1,0),0)</f>
        <v>0</v>
      </c>
      <c r="I660" s="4" t="n">
        <f aca="false">IFERROR(IF(AND(VLOOKUP($B660,Ref_Acuerdos!$A:$E,2,FALSE())="PTA",$A660&gt;=VLOOKUP($B660,Ref_Acuerdos!$A:$E,3,FALSE())),1,0),0)</f>
        <v>0</v>
      </c>
      <c r="J660" s="7" t="str">
        <f aca="false">IFERROR(IF($A660&gt;=VLOOKUP($B660,Ref_Acuerdos!$A:$E,3,FALSE()),VLOOKUP($B660,Ref_Acuerdos!$A:$E,4,FALSE()),""),"")</f>
        <v/>
      </c>
      <c r="K660" s="4" t="str">
        <f aca="false">IFERROR(IF($A660&gt;=VLOOKUP($B660,Ref_Acuerdos!$A:$E,3,FALSE()),VLOOKUP($B660,Ref_Acuerdos!$A:$E,5,FALSE()),"Sin FTA/PTA vigente ese año - arancel NMF"),"Sin FTA/PTA identificado - arancel NMF")</f>
        <v>Sin FTA/PTA identificado - arancel NMF</v>
      </c>
    </row>
    <row r="661" customFormat="false" ht="15" hidden="false" customHeight="false" outlineLevel="0" collapsed="false">
      <c r="A661" s="2" t="n">
        <v>2019</v>
      </c>
      <c r="B661" s="2" t="s">
        <v>26</v>
      </c>
      <c r="C661" s="4" t="str">
        <f aca="false">IFERROR(VLOOKUP($B661,Ref_Continente!$A:$B,2,FALSE()),"Sin clasificar")</f>
        <v>South America</v>
      </c>
      <c r="D661" s="5" t="n">
        <v>162126</v>
      </c>
      <c r="E661" s="6" t="n">
        <v>39540.9</v>
      </c>
      <c r="F661" s="6" t="n">
        <v>2600</v>
      </c>
      <c r="G661" s="5" t="n">
        <v>278285058719.47</v>
      </c>
      <c r="H661" s="4" t="n">
        <f aca="false">IFERROR(IF(AND(VLOOKUP($B661,Ref_Acuerdos!$A:$E,2,FALSE())="FTA",$A661&gt;=VLOOKUP($B661,Ref_Acuerdos!$A:$E,3,FALSE())),1,0),0)</f>
        <v>1</v>
      </c>
      <c r="I661" s="4" t="n">
        <f aca="false">IFERROR(IF(AND(VLOOKUP($B661,Ref_Acuerdos!$A:$E,2,FALSE())="PTA",$A661&gt;=VLOOKUP($B661,Ref_Acuerdos!$A:$E,3,FALSE())),1,0),0)</f>
        <v>0</v>
      </c>
      <c r="J661" s="7" t="n">
        <f aca="false">IFERROR(IF($A661&gt;=VLOOKUP($B661,Ref_Acuerdos!$A:$E,3,FALSE()),VLOOKUP($B661,Ref_Acuerdos!$A:$E,4,FALSE()),""),"")</f>
        <v>0</v>
      </c>
      <c r="K661" s="4" t="str">
        <f aca="false">IFERROR(IF($A661&gt;=VLOOKUP($B661,Ref_Acuerdos!$A:$E,3,FALSE()),VLOOKUP($B661,Ref_Acuerdos!$A:$E,5,FALSE()),"Sin FTA/PTA vigente ese año - arancel NMF"),"Sin FTA/PTA identificado - arancel NMF")</f>
        <v>Ecuador-Chile ACE 65, vigente desde 2010</v>
      </c>
    </row>
    <row r="662" customFormat="false" ht="15" hidden="false" customHeight="false" outlineLevel="0" collapsed="false">
      <c r="A662" s="2" t="n">
        <v>2019</v>
      </c>
      <c r="B662" s="2" t="s">
        <v>88</v>
      </c>
      <c r="C662" s="4" t="str">
        <f aca="false">IFERROR(VLOOKUP($B662,Ref_Continente!$A:$B,2,FALSE()),"Sin clasificar")</f>
        <v>South America</v>
      </c>
      <c r="D662" s="5" t="n">
        <v>153532</v>
      </c>
      <c r="E662" s="6" t="n">
        <v>71302</v>
      </c>
      <c r="F662" s="6" t="n">
        <v>1320</v>
      </c>
      <c r="G662" s="5" t="n">
        <v>228346006003.65</v>
      </c>
      <c r="H662" s="4" t="n">
        <f aca="false">IFERROR(IF(AND(VLOOKUP($B662,Ref_Acuerdos!$A:$E,2,FALSE())="FTA",$A662&gt;=VLOOKUP($B662,Ref_Acuerdos!$A:$E,3,FALSE())),1,0),0)</f>
        <v>0</v>
      </c>
      <c r="I662" s="4" t="n">
        <f aca="false">IFERROR(IF(AND(VLOOKUP($B662,Ref_Acuerdos!$A:$E,2,FALSE())="PTA",$A662&gt;=VLOOKUP($B662,Ref_Acuerdos!$A:$E,3,FALSE())),1,0),0)</f>
        <v>1</v>
      </c>
      <c r="J662" s="7" t="n">
        <f aca="false">IFERROR(IF($A662&gt;=VLOOKUP($B662,Ref_Acuerdos!$A:$E,3,FALSE()),VLOOKUP($B662,Ref_Acuerdos!$A:$E,4,FALSE()),""),"")</f>
        <v>0</v>
      </c>
      <c r="K662" s="4" t="str">
        <f aca="false">IFERROR(IF($A662&gt;=VLOOKUP($B662,Ref_Acuerdos!$A:$E,3,FALSE()),VLOOKUP($B662,Ref_Acuerdos!$A:$E,5,FALSE()),"Sin FTA/PTA vigente ese año - arancel NMF"),"Sin FTA/PTA identificado - arancel NMF")</f>
        <v>Comunidad Andina (CAN) - libre comercio intracomunitario</v>
      </c>
    </row>
    <row r="663" customFormat="false" ht="15" hidden="false" customHeight="false" outlineLevel="0" collapsed="false">
      <c r="A663" s="2" t="n">
        <v>2019</v>
      </c>
      <c r="B663" s="2" t="s">
        <v>90</v>
      </c>
      <c r="C663" s="4" t="str">
        <f aca="false">IFERROR(VLOOKUP($B663,Ref_Continente!$A:$B,2,FALSE()),"Sin clasificar")</f>
        <v>Europe</v>
      </c>
      <c r="D663" s="5" t="n">
        <v>123539</v>
      </c>
      <c r="E663" s="6" t="n">
        <v>30535.2</v>
      </c>
      <c r="F663" s="6" t="n">
        <v>10300</v>
      </c>
      <c r="G663" s="5" t="n">
        <v>602683770144.88</v>
      </c>
      <c r="H663" s="4" t="n">
        <f aca="false">IFERROR(IF(AND(VLOOKUP($B663,Ref_Acuerdos!$A:$E,2,FALSE())="FTA",$A663&gt;=VLOOKUP($B663,Ref_Acuerdos!$A:$E,3,FALSE())),1,0),0)</f>
        <v>1</v>
      </c>
      <c r="I663" s="4" t="n">
        <f aca="false">IFERROR(IF(AND(VLOOKUP($B663,Ref_Acuerdos!$A:$E,2,FALSE())="PTA",$A663&gt;=VLOOKUP($B663,Ref_Acuerdos!$A:$E,3,FALSE())),1,0),0)</f>
        <v>0</v>
      </c>
      <c r="J663" s="7" t="n">
        <f aca="false">IFERROR(IF($A663&gt;=VLOOKUP($B663,Ref_Acuerdos!$A:$E,3,FALSE()),VLOOKUP($B663,Ref_Acuerdos!$A:$E,4,FALSE()),""),"")</f>
        <v>0</v>
      </c>
      <c r="K663" s="4" t="str">
        <f aca="false">IFERROR(IF($A663&gt;=VLOOKUP($B663,Ref_Acuerdos!$A:$E,3,FALSE()),VLOOKUP($B663,Ref_Acuerdos!$A:$E,5,FALSE()),"Sin FTA/PTA vigente ese año - arancel NMF"),"Sin FTA/PTA identificado - arancel NMF")</f>
        <v>UE-Ecuador Acuerdo Multipartes, vigente desde ene-2017</v>
      </c>
    </row>
    <row r="664" customFormat="false" ht="15" hidden="false" customHeight="false" outlineLevel="0" collapsed="false">
      <c r="A664" s="2" t="n">
        <v>2019</v>
      </c>
      <c r="B664" s="2" t="s">
        <v>118</v>
      </c>
      <c r="C664" s="4" t="str">
        <f aca="false">IFERROR(VLOOKUP($B664,Ref_Continente!$A:$B,2,FALSE()),"Sin clasificar")</f>
        <v>South America</v>
      </c>
      <c r="D664" s="5" t="n">
        <v>122520</v>
      </c>
      <c r="E664" s="6" t="n">
        <v>33257.8</v>
      </c>
      <c r="F664" s="6" t="n">
        <v>4650</v>
      </c>
      <c r="G664" s="5" t="n">
        <v>62222313618.85</v>
      </c>
      <c r="H664" s="4" t="n">
        <f aca="false">IFERROR(IF(AND(VLOOKUP($B664,Ref_Acuerdos!$A:$E,2,FALSE())="FTA",$A664&gt;=VLOOKUP($B664,Ref_Acuerdos!$A:$E,3,FALSE())),1,0),0)</f>
        <v>0</v>
      </c>
      <c r="I664" s="4" t="n">
        <f aca="false">IFERROR(IF(AND(VLOOKUP($B664,Ref_Acuerdos!$A:$E,2,FALSE())="PTA",$A664&gt;=VLOOKUP($B664,Ref_Acuerdos!$A:$E,3,FALSE())),1,0),0)</f>
        <v>1</v>
      </c>
      <c r="J664" s="7" t="n">
        <f aca="false">IFERROR(IF($A664&gt;=VLOOKUP($B664,Ref_Acuerdos!$A:$E,3,FALSE()),VLOOKUP($B664,Ref_Acuerdos!$A:$E,4,FALSE()),""),"")</f>
        <v>5</v>
      </c>
      <c r="K664" s="4" t="str">
        <f aca="false">IFERROR(IF($A664&gt;=VLOOKUP($B664,Ref_Acuerdos!$A:$E,3,FALSE()),VLOOKUP($B664,Ref_Acuerdos!$A:$E,5,FALSE()),"Sin FTA/PTA vigente ese año - arancel NMF"),"Sin FTA/PTA identificado - arancel NMF")</f>
        <v>Ecuador-Mercosur ACE 59 - preferencias parciales (tarifa referencial)</v>
      </c>
    </row>
    <row r="665" customFormat="false" ht="15" hidden="false" customHeight="false" outlineLevel="0" collapsed="false">
      <c r="A665" s="2" t="n">
        <v>2019</v>
      </c>
      <c r="B665" s="2" t="s">
        <v>19</v>
      </c>
      <c r="C665" s="4" t="str">
        <f aca="false">IFERROR(VLOOKUP($B665,Ref_Continente!$A:$B,2,FALSE()),"Sin clasificar")</f>
        <v>Europe</v>
      </c>
      <c r="D665" s="5" t="n">
        <v>119154</v>
      </c>
      <c r="E665" s="6" t="n">
        <v>27485.6</v>
      </c>
      <c r="F665" s="6" t="n">
        <v>10600</v>
      </c>
      <c r="G665" s="5" t="n">
        <v>64410170653.46</v>
      </c>
      <c r="H665" s="4" t="n">
        <f aca="false">IFERROR(IF(AND(VLOOKUP($B665,Ref_Acuerdos!$A:$E,2,FALSE())="FTA",$A665&gt;=VLOOKUP($B665,Ref_Acuerdos!$A:$E,3,FALSE())),1,0),0)</f>
        <v>0</v>
      </c>
      <c r="I665" s="4" t="n">
        <f aca="false">IFERROR(IF(AND(VLOOKUP($B665,Ref_Acuerdos!$A:$E,2,FALSE())="PTA",$A665&gt;=VLOOKUP($B665,Ref_Acuerdos!$A:$E,3,FALSE())),1,0),0)</f>
        <v>0</v>
      </c>
      <c r="J665" s="7" t="str">
        <f aca="false">IFERROR(IF($A665&gt;=VLOOKUP($B665,Ref_Acuerdos!$A:$E,3,FALSE()),VLOOKUP($B665,Ref_Acuerdos!$A:$E,4,FALSE()),""),"")</f>
        <v/>
      </c>
      <c r="K665" s="4" t="str">
        <f aca="false">IFERROR(IF($A665&gt;=VLOOKUP($B665,Ref_Acuerdos!$A:$E,3,FALSE()),VLOOKUP($B665,Ref_Acuerdos!$A:$E,5,FALSE()),"Sin FTA/PTA vigente ese año - arancel NMF"),"Sin FTA/PTA identificado - arancel NMF")</f>
        <v>Sin FTA/PTA identificado - arancel NMF</v>
      </c>
    </row>
    <row r="666" customFormat="false" ht="15" hidden="false" customHeight="false" outlineLevel="0" collapsed="false">
      <c r="A666" s="2" t="n">
        <v>2019</v>
      </c>
      <c r="B666" s="2" t="s">
        <v>59</v>
      </c>
      <c r="C666" s="4" t="str">
        <f aca="false">IFERROR(VLOOKUP($B666,Ref_Continente!$A:$B,2,FALSE()),"Sin clasificar")</f>
        <v>Europe</v>
      </c>
      <c r="D666" s="5" t="n">
        <v>115549</v>
      </c>
      <c r="E666" s="6" t="n">
        <v>22790.6</v>
      </c>
      <c r="F666" s="6" t="n">
        <v>10100</v>
      </c>
      <c r="G666" s="5" t="n">
        <v>2019606796583.53</v>
      </c>
      <c r="H666" s="4" t="n">
        <f aca="false">IFERROR(IF(AND(VLOOKUP($B666,Ref_Acuerdos!$A:$E,2,FALSE())="FTA",$A666&gt;=VLOOKUP($B666,Ref_Acuerdos!$A:$E,3,FALSE())),1,0),0)</f>
        <v>1</v>
      </c>
      <c r="I666" s="4" t="n">
        <f aca="false">IFERROR(IF(AND(VLOOKUP($B666,Ref_Acuerdos!$A:$E,2,FALSE())="PTA",$A666&gt;=VLOOKUP($B666,Ref_Acuerdos!$A:$E,3,FALSE())),1,0),0)</f>
        <v>0</v>
      </c>
      <c r="J666" s="7" t="n">
        <f aca="false">IFERROR(IF($A666&gt;=VLOOKUP($B666,Ref_Acuerdos!$A:$E,3,FALSE()),VLOOKUP($B666,Ref_Acuerdos!$A:$E,4,FALSE()),""),"")</f>
        <v>0</v>
      </c>
      <c r="K666" s="4" t="str">
        <f aca="false">IFERROR(IF($A666&gt;=VLOOKUP($B666,Ref_Acuerdos!$A:$E,3,FALSE()),VLOOKUP($B666,Ref_Acuerdos!$A:$E,5,FALSE()),"Sin FTA/PTA vigente ese año - arancel NMF"),"Sin FTA/PTA identificado - arancel NMF")</f>
        <v>UE-Ecuador Acuerdo Multipartes, vigente desde ene-2017</v>
      </c>
    </row>
    <row r="667" customFormat="false" ht="15" hidden="false" customHeight="false" outlineLevel="0" collapsed="false">
      <c r="A667" s="2" t="n">
        <v>2019</v>
      </c>
      <c r="B667" s="2" t="s">
        <v>37</v>
      </c>
      <c r="C667" s="4" t="str">
        <f aca="false">IFERROR(VLOOKUP($B667,Ref_Continente!$A:$B,2,FALSE()),"Sin clasificar")</f>
        <v>North America</v>
      </c>
      <c r="D667" s="5" t="n">
        <v>106237</v>
      </c>
      <c r="E667" s="6" t="n">
        <v>23004.1</v>
      </c>
      <c r="F667" s="6" t="n">
        <v>2200</v>
      </c>
      <c r="G667" s="5" t="n">
        <v>89146130744.72</v>
      </c>
      <c r="H667" s="4" t="n">
        <f aca="false">IFERROR(IF(AND(VLOOKUP($B667,Ref_Acuerdos!$A:$E,2,FALSE())="FTA",$A667&gt;=VLOOKUP($B667,Ref_Acuerdos!$A:$E,3,FALSE())),1,0),0)</f>
        <v>0</v>
      </c>
      <c r="I667" s="4" t="n">
        <f aca="false">IFERROR(IF(AND(VLOOKUP($B667,Ref_Acuerdos!$A:$E,2,FALSE())="PTA",$A667&gt;=VLOOKUP($B667,Ref_Acuerdos!$A:$E,3,FALSE())),1,0),0)</f>
        <v>0</v>
      </c>
      <c r="J667" s="7" t="str">
        <f aca="false">IFERROR(IF($A667&gt;=VLOOKUP($B667,Ref_Acuerdos!$A:$E,3,FALSE()),VLOOKUP($B667,Ref_Acuerdos!$A:$E,4,FALSE()),""),"")</f>
        <v/>
      </c>
      <c r="K667" s="4" t="str">
        <f aca="false">IFERROR(IF($A667&gt;=VLOOKUP($B667,Ref_Acuerdos!$A:$E,3,FALSE()),VLOOKUP($B667,Ref_Acuerdos!$A:$E,5,FALSE()),"Sin FTA/PTA vigente ese año - arancel NMF"),"Sin FTA/PTA identificado - arancel NMF")</f>
        <v>Sin FTA/PTA identificado - arancel NMF</v>
      </c>
    </row>
    <row r="668" customFormat="false" ht="15" hidden="false" customHeight="false" outlineLevel="0" collapsed="false">
      <c r="A668" s="2" t="n">
        <v>2019</v>
      </c>
      <c r="B668" s="2" t="s">
        <v>87</v>
      </c>
      <c r="C668" s="4" t="str">
        <f aca="false">IFERROR(VLOOKUP($B668,Ref_Continente!$A:$B,2,FALSE()),"Sin clasificar")</f>
        <v>South America</v>
      </c>
      <c r="D668" s="5" t="n">
        <v>60958</v>
      </c>
      <c r="E668" s="6" t="n">
        <v>14240.7</v>
      </c>
      <c r="F668" s="6" t="n">
        <v>3600</v>
      </c>
      <c r="G668" s="5" t="n">
        <v>37925338329.16</v>
      </c>
      <c r="H668" s="4" t="n">
        <f aca="false">IFERROR(IF(AND(VLOOKUP($B668,Ref_Acuerdos!$A:$E,2,FALSE())="FTA",$A668&gt;=VLOOKUP($B668,Ref_Acuerdos!$A:$E,3,FALSE())),1,0),0)</f>
        <v>0</v>
      </c>
      <c r="I668" s="4" t="n">
        <f aca="false">IFERROR(IF(AND(VLOOKUP($B668,Ref_Acuerdos!$A:$E,2,FALSE())="PTA",$A668&gt;=VLOOKUP($B668,Ref_Acuerdos!$A:$E,3,FALSE())),1,0),0)</f>
        <v>1</v>
      </c>
      <c r="J668" s="7" t="n">
        <f aca="false">IFERROR(IF($A668&gt;=VLOOKUP($B668,Ref_Acuerdos!$A:$E,3,FALSE()),VLOOKUP($B668,Ref_Acuerdos!$A:$E,4,FALSE()),""),"")</f>
        <v>5</v>
      </c>
      <c r="K668" s="4" t="str">
        <f aca="false">IFERROR(IF($A668&gt;=VLOOKUP($B668,Ref_Acuerdos!$A:$E,3,FALSE()),VLOOKUP($B668,Ref_Acuerdos!$A:$E,5,FALSE()),"Sin FTA/PTA vigente ese año - arancel NMF"),"Sin FTA/PTA identificado - arancel NMF")</f>
        <v>Ecuador-Mercosur ACE 59 - preferencias parciales (tarifa referencial)</v>
      </c>
    </row>
    <row r="669" customFormat="false" ht="15" hidden="false" customHeight="false" outlineLevel="0" collapsed="false">
      <c r="A669" s="2" t="n">
        <v>2019</v>
      </c>
      <c r="B669" s="2" t="s">
        <v>25</v>
      </c>
      <c r="C669" s="4" t="str">
        <f aca="false">IFERROR(VLOOKUP($B669,Ref_Continente!$A:$B,2,FALSE()),"Sin clasificar")</f>
        <v>North America</v>
      </c>
      <c r="D669" s="5" t="n">
        <v>39115</v>
      </c>
      <c r="E669" s="6" t="n">
        <v>8471.9</v>
      </c>
      <c r="F669" s="6" t="n">
        <v>5900</v>
      </c>
      <c r="G669" s="5" t="n">
        <v>1743725183672.52</v>
      </c>
      <c r="H669" s="4" t="n">
        <f aca="false">IFERROR(IF(AND(VLOOKUP($B669,Ref_Acuerdos!$A:$E,2,FALSE())="FTA",$A669&gt;=VLOOKUP($B669,Ref_Acuerdos!$A:$E,3,FALSE())),1,0),0)</f>
        <v>0</v>
      </c>
      <c r="I669" s="4" t="n">
        <f aca="false">IFERROR(IF(AND(VLOOKUP($B669,Ref_Acuerdos!$A:$E,2,FALSE())="PTA",$A669&gt;=VLOOKUP($B669,Ref_Acuerdos!$A:$E,3,FALSE())),1,0),0)</f>
        <v>0</v>
      </c>
      <c r="J669" s="7" t="str">
        <f aca="false">IFERROR(IF($A669&gt;=VLOOKUP($B669,Ref_Acuerdos!$A:$E,3,FALSE()),VLOOKUP($B669,Ref_Acuerdos!$A:$E,4,FALSE()),""),"")</f>
        <v/>
      </c>
      <c r="K669" s="4" t="str">
        <f aca="false">IFERROR(IF($A669&gt;=VLOOKUP($B669,Ref_Acuerdos!$A:$E,3,FALSE()),VLOOKUP($B669,Ref_Acuerdos!$A:$E,5,FALSE()),"Sin FTA/PTA vigente ese año - arancel NMF"),"Sin FTA/PTA identificado - arancel NMF")</f>
        <v>Sin FTA/PTA identificado - arancel NMF</v>
      </c>
    </row>
    <row r="670" customFormat="false" ht="15" hidden="false" customHeight="false" outlineLevel="0" collapsed="false">
      <c r="A670" s="2" t="n">
        <v>2019</v>
      </c>
      <c r="B670" s="2" t="s">
        <v>80</v>
      </c>
      <c r="C670" s="4" t="str">
        <f aca="false">IFERROR(VLOOKUP($B670,Ref_Continente!$A:$B,2,FALSE()),"Sin clasificar")</f>
        <v>North America</v>
      </c>
      <c r="D670" s="5" t="n">
        <v>38304</v>
      </c>
      <c r="E670" s="6" t="n">
        <v>8996.4</v>
      </c>
      <c r="F670" s="6" t="n">
        <v>1730</v>
      </c>
      <c r="G670" s="5" t="n">
        <v>12699023614.25</v>
      </c>
      <c r="H670" s="4" t="n">
        <f aca="false">IFERROR(IF(AND(VLOOKUP($B670,Ref_Acuerdos!$A:$E,2,FALSE())="FTA",$A670&gt;=VLOOKUP($B670,Ref_Acuerdos!$A:$E,3,FALSE())),1,0),0)</f>
        <v>0</v>
      </c>
      <c r="I670" s="4" t="n">
        <f aca="false">IFERROR(IF(AND(VLOOKUP($B670,Ref_Acuerdos!$A:$E,2,FALSE())="PTA",$A670&gt;=VLOOKUP($B670,Ref_Acuerdos!$A:$E,3,FALSE())),1,0),0)</f>
        <v>1</v>
      </c>
      <c r="J670" s="7" t="n">
        <f aca="false">IFERROR(IF($A670&gt;=VLOOKUP($B670,Ref_Acuerdos!$A:$E,3,FALSE()),VLOOKUP($B670,Ref_Acuerdos!$A:$E,4,FALSE()),""),"")</f>
        <v>10</v>
      </c>
      <c r="K670" s="4" t="str">
        <f aca="false">IFERROR(IF($A670&gt;=VLOOKUP($B670,Ref_Acuerdos!$A:$E,3,FALSE()),VLOOKUP($B670,Ref_Acuerdos!$A:$E,5,FALSE()),"Sin FTA/PTA vigente ese año - arancel NMF"),"Sin FTA/PTA identificado - arancel NMF")</f>
        <v>ALADI - Acuerdo de Alcance Parcial (preferencia limitada, tarifa referencial)</v>
      </c>
    </row>
    <row r="671" customFormat="false" ht="15" hidden="false" customHeight="false" outlineLevel="0" collapsed="false">
      <c r="A671" s="2" t="n">
        <v>2019</v>
      </c>
      <c r="B671" s="2" t="s">
        <v>89</v>
      </c>
      <c r="C671" s="4" t="str">
        <f aca="false">IFERROR(VLOOKUP($B671,Ref_Continente!$A:$B,2,FALSE()),"Sin clasificar")</f>
        <v>Asia</v>
      </c>
      <c r="D671" s="5" t="n">
        <v>36306</v>
      </c>
      <c r="E671" s="6" t="n">
        <v>6027.6</v>
      </c>
      <c r="F671" s="6" t="n">
        <v>17800</v>
      </c>
      <c r="G671" s="5" t="n">
        <v>376823402239.14</v>
      </c>
      <c r="H671" s="4" t="n">
        <f aca="false">IFERROR(IF(AND(VLOOKUP($B671,Ref_Acuerdos!$A:$E,2,FALSE())="FTA",$A671&gt;=VLOOKUP($B671,Ref_Acuerdos!$A:$E,3,FALSE())),1,0),0)</f>
        <v>0</v>
      </c>
      <c r="I671" s="4" t="n">
        <f aca="false">IFERROR(IF(AND(VLOOKUP($B671,Ref_Acuerdos!$A:$E,2,FALSE())="PTA",$A671&gt;=VLOOKUP($B671,Ref_Acuerdos!$A:$E,3,FALSE())),1,0),0)</f>
        <v>0</v>
      </c>
      <c r="J671" s="7" t="str">
        <f aca="false">IFERROR(IF($A671&gt;=VLOOKUP($B671,Ref_Acuerdos!$A:$E,3,FALSE()),VLOOKUP($B671,Ref_Acuerdos!$A:$E,4,FALSE()),""),"")</f>
        <v/>
      </c>
      <c r="K671" s="4" t="str">
        <f aca="false">IFERROR(IF($A671&gt;=VLOOKUP($B671,Ref_Acuerdos!$A:$E,3,FALSE()),VLOOKUP($B671,Ref_Acuerdos!$A:$E,5,FALSE()),"Sin FTA/PTA vigente ese año - arancel NMF"),"Sin FTA/PTA identificado - arancel NMF")</f>
        <v>Sin FTA/PTA identificado - arancel NMF</v>
      </c>
    </row>
    <row r="672" customFormat="false" ht="15" hidden="false" customHeight="false" outlineLevel="0" collapsed="false">
      <c r="A672" s="2" t="n">
        <v>2019</v>
      </c>
      <c r="B672" s="2" t="s">
        <v>32</v>
      </c>
      <c r="C672" s="4" t="str">
        <f aca="false">IFERROR(VLOOKUP($B672,Ref_Continente!$A:$B,2,FALSE()),"Sin clasificar")</f>
        <v>North America</v>
      </c>
      <c r="D672" s="5" t="n">
        <v>33561</v>
      </c>
      <c r="E672" s="6" t="n">
        <v>6705.3</v>
      </c>
      <c r="F672" s="6" t="n">
        <v>2450</v>
      </c>
      <c r="G672" s="5" t="n">
        <v>103427600000</v>
      </c>
      <c r="H672" s="4" t="n">
        <f aca="false">IFERROR(IF(AND(VLOOKUP($B672,Ref_Acuerdos!$A:$E,2,FALSE())="FTA",$A672&gt;=VLOOKUP($B672,Ref_Acuerdos!$A:$E,3,FALSE())),1,0),0)</f>
        <v>0</v>
      </c>
      <c r="I672" s="4" t="n">
        <f aca="false">IFERROR(IF(AND(VLOOKUP($B672,Ref_Acuerdos!$A:$E,2,FALSE())="PTA",$A672&gt;=VLOOKUP($B672,Ref_Acuerdos!$A:$E,3,FALSE())),1,0),0)</f>
        <v>1</v>
      </c>
      <c r="J672" s="7" t="n">
        <f aca="false">IFERROR(IF($A672&gt;=VLOOKUP($B672,Ref_Acuerdos!$A:$E,3,FALSE()),VLOOKUP($B672,Ref_Acuerdos!$A:$E,4,FALSE()),""),"")</f>
        <v>10</v>
      </c>
      <c r="K672" s="4" t="str">
        <f aca="false">IFERROR(IF($A672&gt;=VLOOKUP($B672,Ref_Acuerdos!$A:$E,3,FALSE()),VLOOKUP($B672,Ref_Acuerdos!$A:$E,5,FALSE()),"Sin FTA/PTA vigente ese año - arancel NMF"),"Sin FTA/PTA identificado - arancel NMF")</f>
        <v>ALADI - Acuerdo de Alcance Parcial (preferencia limitada, tarifa referencial)</v>
      </c>
    </row>
    <row r="673" customFormat="false" ht="15" hidden="false" customHeight="false" outlineLevel="0" collapsed="false">
      <c r="A673" s="2" t="n">
        <v>2019</v>
      </c>
      <c r="B673" s="2" t="s">
        <v>6</v>
      </c>
      <c r="C673" s="4" t="str">
        <f aca="false">IFERROR(VLOOKUP($B673,Ref_Continente!$A:$B,2,FALSE()),"Sin clasificar")</f>
        <v>South America</v>
      </c>
      <c r="D673" s="5" t="n">
        <v>30615</v>
      </c>
      <c r="E673" s="6" t="n">
        <v>894</v>
      </c>
      <c r="F673" s="6" t="n">
        <v>4320</v>
      </c>
      <c r="G673" s="5" t="n">
        <v>447754683615.23</v>
      </c>
      <c r="H673" s="4" t="n">
        <f aca="false">IFERROR(IF(AND(VLOOKUP($B673,Ref_Acuerdos!$A:$E,2,FALSE())="FTA",$A673&gt;=VLOOKUP($B673,Ref_Acuerdos!$A:$E,3,FALSE())),1,0),0)</f>
        <v>0</v>
      </c>
      <c r="I673" s="4" t="n">
        <f aca="false">IFERROR(IF(AND(VLOOKUP($B673,Ref_Acuerdos!$A:$E,2,FALSE())="PTA",$A673&gt;=VLOOKUP($B673,Ref_Acuerdos!$A:$E,3,FALSE())),1,0),0)</f>
        <v>1</v>
      </c>
      <c r="J673" s="7" t="n">
        <f aca="false">IFERROR(IF($A673&gt;=VLOOKUP($B673,Ref_Acuerdos!$A:$E,3,FALSE()),VLOOKUP($B673,Ref_Acuerdos!$A:$E,4,FALSE()),""),"")</f>
        <v>5</v>
      </c>
      <c r="K673" s="4" t="str">
        <f aca="false">IFERROR(IF($A673&gt;=VLOOKUP($B673,Ref_Acuerdos!$A:$E,3,FALSE()),VLOOKUP($B673,Ref_Acuerdos!$A:$E,5,FALSE()),"Sin FTA/PTA vigente ese año - arancel NMF"),"Sin FTA/PTA identificado - arancel NMF")</f>
        <v>Ecuador-Mercosur ACE 59 - preferencias parciales (tarifa referencial)</v>
      </c>
    </row>
    <row r="674" customFormat="false" ht="15" hidden="false" customHeight="false" outlineLevel="0" collapsed="false">
      <c r="A674" s="2" t="n">
        <v>2019</v>
      </c>
      <c r="B674" s="2" t="s">
        <v>103</v>
      </c>
      <c r="C674" s="4" t="str">
        <f aca="false">IFERROR(VLOOKUP($B674,Ref_Continente!$A:$B,2,FALSE()),"Sin clasificar")</f>
        <v>Europe</v>
      </c>
      <c r="D674" s="5" t="n">
        <v>29348</v>
      </c>
      <c r="E674" s="6" t="n">
        <v>5941.9</v>
      </c>
      <c r="F674" s="6" t="n">
        <v>10500</v>
      </c>
      <c r="G674" s="5"/>
      <c r="H674" s="4" t="n">
        <f aca="false">IFERROR(IF(AND(VLOOKUP($B674,Ref_Acuerdos!$A:$E,2,FALSE())="FTA",$A674&gt;=VLOOKUP($B674,Ref_Acuerdos!$A:$E,3,FALSE())),1,0),0)</f>
        <v>1</v>
      </c>
      <c r="I674" s="4" t="n">
        <f aca="false">IFERROR(IF(AND(VLOOKUP($B674,Ref_Acuerdos!$A:$E,2,FALSE())="PTA",$A674&gt;=VLOOKUP($B674,Ref_Acuerdos!$A:$E,3,FALSE())),1,0),0)</f>
        <v>0</v>
      </c>
      <c r="J674" s="7" t="n">
        <f aca="false">IFERROR(IF($A674&gt;=VLOOKUP($B674,Ref_Acuerdos!$A:$E,3,FALSE()),VLOOKUP($B674,Ref_Acuerdos!$A:$E,4,FALSE()),""),"")</f>
        <v>0</v>
      </c>
      <c r="K674" s="4" t="str">
        <f aca="false">IFERROR(IF($A674&gt;=VLOOKUP($B674,Ref_Acuerdos!$A:$E,3,FALSE()),VLOOKUP($B674,Ref_Acuerdos!$A:$E,5,FALSE()),"Sin FTA/PTA vigente ese año - arancel NMF"),"Sin FTA/PTA identificado - arancel NMF")</f>
        <v>UE-Ecuador Acuerdo Multipartes, vigente desde ene-2017</v>
      </c>
    </row>
    <row r="675" customFormat="false" ht="15" hidden="false" customHeight="false" outlineLevel="0" collapsed="false">
      <c r="A675" s="2" t="n">
        <v>2019</v>
      </c>
      <c r="B675" s="2" t="s">
        <v>94</v>
      </c>
      <c r="C675" s="4" t="str">
        <f aca="false">IFERROR(VLOOKUP($B675,Ref_Continente!$A:$B,2,FALSE()),"Sin clasificar")</f>
        <v>Europe</v>
      </c>
      <c r="D675" s="5" t="n">
        <v>26164</v>
      </c>
      <c r="E675" s="6" t="n">
        <v>6814.2</v>
      </c>
      <c r="F675" s="6" t="n">
        <v>11000</v>
      </c>
      <c r="G675" s="5" t="n">
        <v>11736797054.7</v>
      </c>
      <c r="H675" s="4" t="n">
        <f aca="false">IFERROR(IF(AND(VLOOKUP($B675,Ref_Acuerdos!$A:$E,2,FALSE())="FTA",$A675&gt;=VLOOKUP($B675,Ref_Acuerdos!$A:$E,3,FALSE())),1,0),0)</f>
        <v>0</v>
      </c>
      <c r="I675" s="4" t="n">
        <f aca="false">IFERROR(IF(AND(VLOOKUP($B675,Ref_Acuerdos!$A:$E,2,FALSE())="PTA",$A675&gt;=VLOOKUP($B675,Ref_Acuerdos!$A:$E,3,FALSE())),1,0),0)</f>
        <v>0</v>
      </c>
      <c r="J675" s="7" t="str">
        <f aca="false">IFERROR(IF($A675&gt;=VLOOKUP($B675,Ref_Acuerdos!$A:$E,3,FALSE()),VLOOKUP($B675,Ref_Acuerdos!$A:$E,4,FALSE()),""),"")</f>
        <v/>
      </c>
      <c r="K675" s="4" t="str">
        <f aca="false">IFERROR(IF($A675&gt;=VLOOKUP($B675,Ref_Acuerdos!$A:$E,3,FALSE()),VLOOKUP($B675,Ref_Acuerdos!$A:$E,5,FALSE()),"Sin FTA/PTA vigente ese año - arancel NMF"),"Sin FTA/PTA identificado - arancel NMF")</f>
        <v>Sin FTA/PTA identificado - arancel NMF</v>
      </c>
    </row>
    <row r="676" customFormat="false" ht="15" hidden="false" customHeight="false" outlineLevel="0" collapsed="false">
      <c r="A676" s="2" t="n">
        <v>2019</v>
      </c>
      <c r="B676" s="2" t="s">
        <v>95</v>
      </c>
      <c r="C676" s="4" t="str">
        <f aca="false">IFERROR(VLOOKUP($B676,Ref_Continente!$A:$B,2,FALSE()),"Sin clasificar")</f>
        <v>Europe</v>
      </c>
      <c r="D676" s="5" t="n">
        <v>25111</v>
      </c>
      <c r="E676" s="6" t="n">
        <v>3989.6</v>
      </c>
      <c r="F676" s="6" t="n">
        <v>11300</v>
      </c>
      <c r="G676" s="5" t="n">
        <v>250080428511.6</v>
      </c>
      <c r="H676" s="4" t="n">
        <f aca="false">IFERROR(IF(AND(VLOOKUP($B676,Ref_Acuerdos!$A:$E,2,FALSE())="FTA",$A676&gt;=VLOOKUP($B676,Ref_Acuerdos!$A:$E,3,FALSE())),1,0),0)</f>
        <v>1</v>
      </c>
      <c r="I676" s="4" t="n">
        <f aca="false">IFERROR(IF(AND(VLOOKUP($B676,Ref_Acuerdos!$A:$E,2,FALSE())="PTA",$A676&gt;=VLOOKUP($B676,Ref_Acuerdos!$A:$E,3,FALSE())),1,0),0)</f>
        <v>0</v>
      </c>
      <c r="J676" s="7" t="n">
        <f aca="false">IFERROR(IF($A676&gt;=VLOOKUP($B676,Ref_Acuerdos!$A:$E,3,FALSE()),VLOOKUP($B676,Ref_Acuerdos!$A:$E,4,FALSE()),""),"")</f>
        <v>0</v>
      </c>
      <c r="K676" s="4" t="str">
        <f aca="false">IFERROR(IF($A676&gt;=VLOOKUP($B676,Ref_Acuerdos!$A:$E,3,FALSE()),VLOOKUP($B676,Ref_Acuerdos!$A:$E,5,FALSE()),"Sin FTA/PTA vigente ese año - arancel NMF"),"Sin FTA/PTA identificado - arancel NMF")</f>
        <v>UE-Ecuador Acuerdo Multipartes, vigente desde ene-2017</v>
      </c>
    </row>
    <row r="677" customFormat="false" ht="15" hidden="false" customHeight="false" outlineLevel="0" collapsed="false">
      <c r="A677" s="2" t="n">
        <v>2019</v>
      </c>
      <c r="B677" s="2" t="s">
        <v>111</v>
      </c>
      <c r="C677" s="4" t="str">
        <f aca="false">IFERROR(VLOOKUP($B677,Ref_Continente!$A:$B,2,FALSE()),"Sin clasificar")</f>
        <v>North America</v>
      </c>
      <c r="D677" s="5" t="n">
        <v>22130</v>
      </c>
      <c r="E677" s="6" t="n">
        <v>3874.6</v>
      </c>
      <c r="F677" s="6" t="n">
        <v>2530</v>
      </c>
      <c r="G677" s="5" t="n">
        <v>23477745791.7</v>
      </c>
      <c r="H677" s="4" t="n">
        <f aca="false">IFERROR(IF(AND(VLOOKUP($B677,Ref_Acuerdos!$A:$E,2,FALSE())="FTA",$A677&gt;=VLOOKUP($B677,Ref_Acuerdos!$A:$E,3,FALSE())),1,0),0)</f>
        <v>0</v>
      </c>
      <c r="I677" s="4" t="n">
        <f aca="false">IFERROR(IF(AND(VLOOKUP($B677,Ref_Acuerdos!$A:$E,2,FALSE())="PTA",$A677&gt;=VLOOKUP($B677,Ref_Acuerdos!$A:$E,3,FALSE())),1,0),0)</f>
        <v>0</v>
      </c>
      <c r="J677" s="7" t="str">
        <f aca="false">IFERROR(IF($A677&gt;=VLOOKUP($B677,Ref_Acuerdos!$A:$E,3,FALSE()),VLOOKUP($B677,Ref_Acuerdos!$A:$E,4,FALSE()),""),"")</f>
        <v/>
      </c>
      <c r="K677" s="4" t="str">
        <f aca="false">IFERROR(IF($A677&gt;=VLOOKUP($B677,Ref_Acuerdos!$A:$E,3,FALSE()),VLOOKUP($B677,Ref_Acuerdos!$A:$E,5,FALSE()),"Sin FTA/PTA vigente ese año - arancel NMF"),"Sin FTA/PTA identificado - arancel NMF")</f>
        <v>Sin FTA/PTA identificado - arancel NMF</v>
      </c>
    </row>
    <row r="678" customFormat="false" ht="15" hidden="false" customHeight="false" outlineLevel="0" collapsed="false">
      <c r="A678" s="2" t="n">
        <v>2019</v>
      </c>
      <c r="B678" s="2" t="s">
        <v>71</v>
      </c>
      <c r="C678" s="4" t="str">
        <f aca="false">IFERROR(VLOOKUP($B678,Ref_Continente!$A:$B,2,FALSE()),"Sin clasificar")</f>
        <v>Asia</v>
      </c>
      <c r="D678" s="5" t="n">
        <v>16494</v>
      </c>
      <c r="E678" s="6" t="n">
        <v>8871.8</v>
      </c>
      <c r="F678" s="6" t="n">
        <v>17100</v>
      </c>
      <c r="G678" s="5" t="n">
        <v>5726094799.38</v>
      </c>
      <c r="H678" s="4" t="n">
        <f aca="false">IFERROR(IF(AND(VLOOKUP($B678,Ref_Acuerdos!$A:$E,2,FALSE())="FTA",$A678&gt;=VLOOKUP($B678,Ref_Acuerdos!$A:$E,3,FALSE())),1,0),0)</f>
        <v>0</v>
      </c>
      <c r="I678" s="4" t="n">
        <f aca="false">IFERROR(IF(AND(VLOOKUP($B678,Ref_Acuerdos!$A:$E,2,FALSE())="PTA",$A678&gt;=VLOOKUP($B678,Ref_Acuerdos!$A:$E,3,FALSE())),1,0),0)</f>
        <v>0</v>
      </c>
      <c r="J678" s="7" t="str">
        <f aca="false">IFERROR(IF($A678&gt;=VLOOKUP($B678,Ref_Acuerdos!$A:$E,3,FALSE()),VLOOKUP($B678,Ref_Acuerdos!$A:$E,4,FALSE()),""),"")</f>
        <v/>
      </c>
      <c r="K678" s="4" t="str">
        <f aca="false">IFERROR(IF($A678&gt;=VLOOKUP($B678,Ref_Acuerdos!$A:$E,3,FALSE()),VLOOKUP($B678,Ref_Acuerdos!$A:$E,5,FALSE()),"Sin FTA/PTA vigente ese año - arancel NMF"),"Sin FTA/PTA identificado - arancel NMF")</f>
        <v>Sin FTA/PTA identificado - arancel NMF</v>
      </c>
    </row>
    <row r="679" customFormat="false" ht="15" hidden="false" customHeight="false" outlineLevel="0" collapsed="false">
      <c r="A679" s="2" t="n">
        <v>2019</v>
      </c>
      <c r="B679" s="2" t="s">
        <v>86</v>
      </c>
      <c r="C679" s="4" t="str">
        <f aca="false">IFERROR(VLOOKUP($B679,Ref_Continente!$A:$B,2,FALSE()),"Sin clasificar")</f>
        <v>North America</v>
      </c>
      <c r="D679" s="5" t="n">
        <v>14574</v>
      </c>
      <c r="E679" s="6" t="n">
        <v>3030.7</v>
      </c>
      <c r="F679" s="6" t="n">
        <v>1020</v>
      </c>
      <c r="G679" s="5" t="n">
        <v>69778991192.56</v>
      </c>
      <c r="H679" s="4" t="n">
        <f aca="false">IFERROR(IF(AND(VLOOKUP($B679,Ref_Acuerdos!$A:$E,2,FALSE())="FTA",$A679&gt;=VLOOKUP($B679,Ref_Acuerdos!$A:$E,3,FALSE())),1,0),0)</f>
        <v>0</v>
      </c>
      <c r="I679" s="4" t="n">
        <f aca="false">IFERROR(IF(AND(VLOOKUP($B679,Ref_Acuerdos!$A:$E,2,FALSE())="PTA",$A679&gt;=VLOOKUP($B679,Ref_Acuerdos!$A:$E,3,FALSE())),1,0),0)</f>
        <v>1</v>
      </c>
      <c r="J679" s="7" t="n">
        <f aca="false">IFERROR(IF($A679&gt;=VLOOKUP($B679,Ref_Acuerdos!$A:$E,3,FALSE()),VLOOKUP($B679,Ref_Acuerdos!$A:$E,4,FALSE()),""),"")</f>
        <v>10</v>
      </c>
      <c r="K679" s="4" t="str">
        <f aca="false">IFERROR(IF($A679&gt;=VLOOKUP($B679,Ref_Acuerdos!$A:$E,3,FALSE()),VLOOKUP($B679,Ref_Acuerdos!$A:$E,5,FALSE()),"Sin FTA/PTA vigente ese año - arancel NMF"),"Sin FTA/PTA identificado - arancel NMF")</f>
        <v>ALADI - Acuerdo de Alcance Parcial (preferencia limitada, tarifa referencial)</v>
      </c>
    </row>
    <row r="680" customFormat="false" ht="15" hidden="false" customHeight="false" outlineLevel="0" collapsed="false">
      <c r="A680" s="2" t="n">
        <v>2019</v>
      </c>
      <c r="B680" s="2" t="s">
        <v>39</v>
      </c>
      <c r="C680" s="4" t="str">
        <f aca="false">IFERROR(VLOOKUP($B680,Ref_Continente!$A:$B,2,FALSE()),"Sin clasificar")</f>
        <v>North America</v>
      </c>
      <c r="D680" s="5" t="n">
        <v>14528</v>
      </c>
      <c r="E680" s="6" t="n">
        <v>2914</v>
      </c>
      <c r="F680" s="6" t="n">
        <v>2000</v>
      </c>
      <c r="G680" s="5" t="n">
        <v>26881140000</v>
      </c>
      <c r="H680" s="4" t="n">
        <f aca="false">IFERROR(IF(AND(VLOOKUP($B680,Ref_Acuerdos!$A:$E,2,FALSE())="FTA",$A680&gt;=VLOOKUP($B680,Ref_Acuerdos!$A:$E,3,FALSE())),1,0),0)</f>
        <v>0</v>
      </c>
      <c r="I680" s="4" t="n">
        <f aca="false">IFERROR(IF(AND(VLOOKUP($B680,Ref_Acuerdos!$A:$E,2,FALSE())="PTA",$A680&gt;=VLOOKUP($B680,Ref_Acuerdos!$A:$E,3,FALSE())),1,0),0)</f>
        <v>0</v>
      </c>
      <c r="J680" s="7" t="str">
        <f aca="false">IFERROR(IF($A680&gt;=VLOOKUP($B680,Ref_Acuerdos!$A:$E,3,FALSE()),VLOOKUP($B680,Ref_Acuerdos!$A:$E,4,FALSE()),""),"")</f>
        <v/>
      </c>
      <c r="K680" s="4" t="str">
        <f aca="false">IFERROR(IF($A680&gt;=VLOOKUP($B680,Ref_Acuerdos!$A:$E,3,FALSE()),VLOOKUP($B680,Ref_Acuerdos!$A:$E,5,FALSE()),"Sin FTA/PTA vigente ese año - arancel NMF"),"Sin FTA/PTA identificado - arancel NMF")</f>
        <v>Sin FTA/PTA identificado - arancel NMF</v>
      </c>
    </row>
    <row r="681" customFormat="false" ht="15" hidden="false" customHeight="false" outlineLevel="0" collapsed="false">
      <c r="A681" s="2" t="n">
        <v>2019</v>
      </c>
      <c r="B681" s="2" t="s">
        <v>66</v>
      </c>
      <c r="C681" s="4" t="str">
        <f aca="false">IFERROR(VLOOKUP($B681,Ref_Continente!$A:$B,2,FALSE()),"Sin clasificar")</f>
        <v>Europe</v>
      </c>
      <c r="D681" s="5" t="n">
        <v>14227</v>
      </c>
      <c r="E681" s="6" t="n">
        <v>3507.1</v>
      </c>
      <c r="F681" s="6" t="n">
        <v>10400</v>
      </c>
      <c r="G681" s="5" t="n">
        <v>33099503950.85</v>
      </c>
      <c r="H681" s="4" t="n">
        <f aca="false">IFERROR(IF(AND(VLOOKUP($B681,Ref_Acuerdos!$A:$E,2,FALSE())="FTA",$A681&gt;=VLOOKUP($B681,Ref_Acuerdos!$A:$E,3,FALSE())),1,0),0)</f>
        <v>1</v>
      </c>
      <c r="I681" s="4" t="n">
        <f aca="false">IFERROR(IF(AND(VLOOKUP($B681,Ref_Acuerdos!$A:$E,2,FALSE())="PTA",$A681&gt;=VLOOKUP($B681,Ref_Acuerdos!$A:$E,3,FALSE())),1,0),0)</f>
        <v>0</v>
      </c>
      <c r="J681" s="7" t="n">
        <f aca="false">IFERROR(IF($A681&gt;=VLOOKUP($B681,Ref_Acuerdos!$A:$E,3,FALSE()),VLOOKUP($B681,Ref_Acuerdos!$A:$E,4,FALSE()),""),"")</f>
        <v>0</v>
      </c>
      <c r="K681" s="4" t="str">
        <f aca="false">IFERROR(IF($A681&gt;=VLOOKUP($B681,Ref_Acuerdos!$A:$E,3,FALSE()),VLOOKUP($B681,Ref_Acuerdos!$A:$E,5,FALSE()),"Sin FTA/PTA vigente ese año - arancel NMF"),"Sin FTA/PTA identificado - arancel NMF")</f>
        <v>UE-Ecuador Acuerdo Multipartes, vigente desde ene-2017</v>
      </c>
    </row>
    <row r="682" customFormat="false" ht="15" hidden="false" customHeight="false" outlineLevel="0" collapsed="false">
      <c r="A682" s="2" t="n">
        <v>2019</v>
      </c>
      <c r="B682" s="2" t="s">
        <v>64</v>
      </c>
      <c r="C682" s="4" t="str">
        <f aca="false">IFERROR(VLOOKUP($B682,Ref_Continente!$A:$B,2,FALSE()),"Sin clasificar")</f>
        <v>Asia</v>
      </c>
      <c r="D682" s="5" t="n">
        <v>12768</v>
      </c>
      <c r="E682" s="6" t="n">
        <v>2552.8</v>
      </c>
      <c r="F682" s="6" t="n">
        <v>13500</v>
      </c>
      <c r="G682" s="5" t="n">
        <v>140856394860.53</v>
      </c>
      <c r="H682" s="4" t="n">
        <f aca="false">IFERROR(IF(AND(VLOOKUP($B682,Ref_Acuerdos!$A:$E,2,FALSE())="FTA",$A682&gt;=VLOOKUP($B682,Ref_Acuerdos!$A:$E,3,FALSE())),1,0),0)</f>
        <v>0</v>
      </c>
      <c r="I682" s="4" t="n">
        <f aca="false">IFERROR(IF(AND(VLOOKUP($B682,Ref_Acuerdos!$A:$E,2,FALSE())="PTA",$A682&gt;=VLOOKUP($B682,Ref_Acuerdos!$A:$E,3,FALSE())),1,0),0)</f>
        <v>0</v>
      </c>
      <c r="J682" s="7" t="str">
        <f aca="false">IFERROR(IF($A682&gt;=VLOOKUP($B682,Ref_Acuerdos!$A:$E,3,FALSE()),VLOOKUP($B682,Ref_Acuerdos!$A:$E,4,FALSE()),""),"")</f>
        <v/>
      </c>
      <c r="K682" s="4" t="str">
        <f aca="false">IFERROR(IF($A682&gt;=VLOOKUP($B682,Ref_Acuerdos!$A:$E,3,FALSE()),VLOOKUP($B682,Ref_Acuerdos!$A:$E,5,FALSE()),"Sin FTA/PTA vigente ese año - arancel NMF"),"Sin FTA/PTA identificado - arancel NMF")</f>
        <v>Sin FTA/PTA identificado - arancel NMF</v>
      </c>
    </row>
    <row r="683" customFormat="false" ht="15" hidden="false" customHeight="false" outlineLevel="0" collapsed="false">
      <c r="A683" s="2" t="n">
        <v>2019</v>
      </c>
      <c r="B683" s="2" t="s">
        <v>42</v>
      </c>
      <c r="C683" s="4" t="str">
        <f aca="false">IFERROR(VLOOKUP($B683,Ref_Continente!$A:$B,2,FALSE()),"Sin clasificar")</f>
        <v>Europe</v>
      </c>
      <c r="D683" s="5" t="n">
        <v>12114</v>
      </c>
      <c r="E683" s="6" t="n">
        <v>1847.3</v>
      </c>
      <c r="F683" s="6" t="n">
        <v>9150</v>
      </c>
      <c r="G683" s="5" t="n">
        <v>2722793515171.76</v>
      </c>
      <c r="H683" s="4" t="n">
        <f aca="false">IFERROR(IF(AND(VLOOKUP($B683,Ref_Acuerdos!$A:$E,2,FALSE())="FTA",$A683&gt;=VLOOKUP($B683,Ref_Acuerdos!$A:$E,3,FALSE())),1,0),0)</f>
        <v>1</v>
      </c>
      <c r="I683" s="4" t="n">
        <f aca="false">IFERROR(IF(AND(VLOOKUP($B683,Ref_Acuerdos!$A:$E,2,FALSE())="PTA",$A683&gt;=VLOOKUP($B683,Ref_Acuerdos!$A:$E,3,FALSE())),1,0),0)</f>
        <v>0</v>
      </c>
      <c r="J683" s="7" t="n">
        <f aca="false">IFERROR(IF($A683&gt;=VLOOKUP($B683,Ref_Acuerdos!$A:$E,3,FALSE()),VLOOKUP($B683,Ref_Acuerdos!$A:$E,4,FALSE()),""),"")</f>
        <v>0</v>
      </c>
      <c r="K683" s="4" t="str">
        <f aca="false">IFERROR(IF($A683&gt;=VLOOKUP($B683,Ref_Acuerdos!$A:$E,3,FALSE()),VLOOKUP($B683,Ref_Acuerdos!$A:$E,5,FALSE()),"Sin FTA/PTA vigente ese año - arancel NMF"),"Sin FTA/PTA identificado - arancel NMF")</f>
        <v>UE-Ecuador Acuerdo Multipartes, vigente desde ene-2017</v>
      </c>
    </row>
    <row r="684" customFormat="false" ht="15" hidden="false" customHeight="false" outlineLevel="0" collapsed="false">
      <c r="A684" s="2" t="n">
        <v>2019</v>
      </c>
      <c r="B684" s="2" t="s">
        <v>45</v>
      </c>
      <c r="C684" s="4" t="str">
        <f aca="false">IFERROR(VLOOKUP($B684,Ref_Continente!$A:$B,2,FALSE()),"Sin clasificar")</f>
        <v>Europe</v>
      </c>
      <c r="D684" s="5" t="n">
        <v>10855</v>
      </c>
      <c r="E684" s="6" t="n">
        <v>2345.7</v>
      </c>
      <c r="F684" s="6" t="n">
        <v>9650</v>
      </c>
      <c r="G684" s="5" t="n">
        <v>3959894794039.21</v>
      </c>
      <c r="H684" s="4" t="n">
        <f aca="false">IFERROR(IF(AND(VLOOKUP($B684,Ref_Acuerdos!$A:$E,2,FALSE())="FTA",$A684&gt;=VLOOKUP($B684,Ref_Acuerdos!$A:$E,3,FALSE())),1,0),0)</f>
        <v>1</v>
      </c>
      <c r="I684" s="4" t="n">
        <f aca="false">IFERROR(IF(AND(VLOOKUP($B684,Ref_Acuerdos!$A:$E,2,FALSE())="PTA",$A684&gt;=VLOOKUP($B684,Ref_Acuerdos!$A:$E,3,FALSE())),1,0),0)</f>
        <v>0</v>
      </c>
      <c r="J684" s="7" t="n">
        <f aca="false">IFERROR(IF($A684&gt;=VLOOKUP($B684,Ref_Acuerdos!$A:$E,3,FALSE()),VLOOKUP($B684,Ref_Acuerdos!$A:$E,4,FALSE()),""),"")</f>
        <v>0</v>
      </c>
      <c r="K684" s="4" t="str">
        <f aca="false">IFERROR(IF($A684&gt;=VLOOKUP($B684,Ref_Acuerdos!$A:$E,3,FALSE()),VLOOKUP($B684,Ref_Acuerdos!$A:$E,5,FALSE()),"Sin FTA/PTA vigente ese año - arancel NMF"),"Sin FTA/PTA identificado - arancel NMF")</f>
        <v>UE-Ecuador Acuerdo Multipartes, vigente desde ene-2017</v>
      </c>
    </row>
    <row r="685" customFormat="false" ht="15" hidden="false" customHeight="false" outlineLevel="0" collapsed="false">
      <c r="A685" s="2" t="n">
        <v>2019</v>
      </c>
      <c r="B685" s="2" t="s">
        <v>92</v>
      </c>
      <c r="C685" s="4" t="str">
        <f aca="false">IFERROR(VLOOKUP($B685,Ref_Continente!$A:$B,2,FALSE()),"Sin clasificar")</f>
        <v>Asia</v>
      </c>
      <c r="D685" s="5" t="n">
        <v>8161</v>
      </c>
      <c r="E685" s="6" t="n">
        <v>2783.8</v>
      </c>
      <c r="F685" s="6" t="n">
        <v>14000</v>
      </c>
      <c r="G685" s="5" t="n">
        <v>176371428571.43</v>
      </c>
      <c r="H685" s="4" t="n">
        <f aca="false">IFERROR(IF(AND(VLOOKUP($B685,Ref_Acuerdos!$A:$E,2,FALSE())="FTA",$A685&gt;=VLOOKUP($B685,Ref_Acuerdos!$A:$E,3,FALSE())),1,0),0)</f>
        <v>0</v>
      </c>
      <c r="I685" s="4" t="n">
        <f aca="false">IFERROR(IF(AND(VLOOKUP($B685,Ref_Acuerdos!$A:$E,2,FALSE())="PTA",$A685&gt;=VLOOKUP($B685,Ref_Acuerdos!$A:$E,3,FALSE())),1,0),0)</f>
        <v>0</v>
      </c>
      <c r="J685" s="7" t="str">
        <f aca="false">IFERROR(IF($A685&gt;=VLOOKUP($B685,Ref_Acuerdos!$A:$E,3,FALSE()),VLOOKUP($B685,Ref_Acuerdos!$A:$E,4,FALSE()),""),"")</f>
        <v/>
      </c>
      <c r="K685" s="4" t="str">
        <f aca="false">IFERROR(IF($A685&gt;=VLOOKUP($B685,Ref_Acuerdos!$A:$E,3,FALSE()),VLOOKUP($B685,Ref_Acuerdos!$A:$E,5,FALSE()),"Sin FTA/PTA vigente ese año - arancel NMF"),"Sin FTA/PTA identificado - arancel NMF")</f>
        <v>Sin FTA/PTA identificado - arancel NMF</v>
      </c>
    </row>
    <row r="686" customFormat="false" ht="15" hidden="false" customHeight="false" outlineLevel="0" collapsed="false">
      <c r="A686" s="2" t="n">
        <v>2019</v>
      </c>
      <c r="B686" s="2" t="s">
        <v>65</v>
      </c>
      <c r="C686" s="4" t="str">
        <f aca="false">IFERROR(VLOOKUP($B686,Ref_Continente!$A:$B,2,FALSE()),"Sin clasificar")</f>
        <v>Asia</v>
      </c>
      <c r="D686" s="5" t="n">
        <v>8070</v>
      </c>
      <c r="E686" s="6" t="n">
        <v>1692.6</v>
      </c>
      <c r="F686" s="6" t="n">
        <v>14300</v>
      </c>
      <c r="G686" s="5"/>
      <c r="H686" s="4" t="n">
        <f aca="false">IFERROR(IF(AND(VLOOKUP($B686,Ref_Acuerdos!$A:$E,2,FALSE())="FTA",$A686&gt;=VLOOKUP($B686,Ref_Acuerdos!$A:$E,3,FALSE())),1,0),0)</f>
        <v>0</v>
      </c>
      <c r="I686" s="4" t="n">
        <f aca="false">IFERROR(IF(AND(VLOOKUP($B686,Ref_Acuerdos!$A:$E,2,FALSE())="PTA",$A686&gt;=VLOOKUP($B686,Ref_Acuerdos!$A:$E,3,FALSE())),1,0),0)</f>
        <v>0</v>
      </c>
      <c r="J686" s="7" t="str">
        <f aca="false">IFERROR(IF($A686&gt;=VLOOKUP($B686,Ref_Acuerdos!$A:$E,3,FALSE()),VLOOKUP($B686,Ref_Acuerdos!$A:$E,4,FALSE()),""),"")</f>
        <v/>
      </c>
      <c r="K686" s="4" t="str">
        <f aca="false">IFERROR(IF($A686&gt;=VLOOKUP($B686,Ref_Acuerdos!$A:$E,3,FALSE()),VLOOKUP($B686,Ref_Acuerdos!$A:$E,5,FALSE()),"Sin FTA/PTA vigente ese año - arancel NMF"),"Sin FTA/PTA identificado - arancel NMF")</f>
        <v>Sin FTA/PTA identificado - arancel NMF</v>
      </c>
    </row>
    <row r="687" customFormat="false" ht="15" hidden="false" customHeight="false" outlineLevel="0" collapsed="false">
      <c r="A687" s="2" t="n">
        <v>2019</v>
      </c>
      <c r="B687" s="2" t="s">
        <v>91</v>
      </c>
      <c r="C687" s="4" t="str">
        <f aca="false">IFERROR(VLOOKUP($B687,Ref_Continente!$A:$B,2,FALSE()),"Sin clasificar")</f>
        <v>Europe</v>
      </c>
      <c r="D687" s="5" t="n">
        <v>7720</v>
      </c>
      <c r="E687" s="6" t="n">
        <v>3789.8</v>
      </c>
      <c r="F687" s="6" t="n">
        <v>8700</v>
      </c>
      <c r="G687" s="5" t="n">
        <v>240115970063.02</v>
      </c>
      <c r="H687" s="4" t="n">
        <f aca="false">IFERROR(IF(AND(VLOOKUP($B687,Ref_Acuerdos!$A:$E,2,FALSE())="FTA",$A687&gt;=VLOOKUP($B687,Ref_Acuerdos!$A:$E,3,FALSE())),1,0),0)</f>
        <v>1</v>
      </c>
      <c r="I687" s="4" t="n">
        <f aca="false">IFERROR(IF(AND(VLOOKUP($B687,Ref_Acuerdos!$A:$E,2,FALSE())="PTA",$A687&gt;=VLOOKUP($B687,Ref_Acuerdos!$A:$E,3,FALSE())),1,0),0)</f>
        <v>0</v>
      </c>
      <c r="J687" s="7" t="n">
        <f aca="false">IFERROR(IF($A687&gt;=VLOOKUP($B687,Ref_Acuerdos!$A:$E,3,FALSE()),VLOOKUP($B687,Ref_Acuerdos!$A:$E,4,FALSE()),""),"")</f>
        <v>0</v>
      </c>
      <c r="K687" s="4" t="str">
        <f aca="false">IFERROR(IF($A687&gt;=VLOOKUP($B687,Ref_Acuerdos!$A:$E,3,FALSE()),VLOOKUP($B687,Ref_Acuerdos!$A:$E,5,FALSE()),"Sin FTA/PTA vigente ese año - arancel NMF"),"Sin FTA/PTA identificado - arancel NMF")</f>
        <v>UE-Ecuador Acuerdo Multipartes, vigente desde ene-2017</v>
      </c>
    </row>
    <row r="688" customFormat="false" ht="15" hidden="false" customHeight="false" outlineLevel="0" collapsed="false">
      <c r="A688" s="2" t="n">
        <v>2019</v>
      </c>
      <c r="B688" s="2" t="s">
        <v>24</v>
      </c>
      <c r="C688" s="4" t="str">
        <f aca="false">IFERROR(VLOOKUP($B688,Ref_Continente!$A:$B,2,FALSE()),"Sin clasificar")</f>
        <v>Europe</v>
      </c>
      <c r="D688" s="5" t="n">
        <v>5383</v>
      </c>
      <c r="E688" s="6" t="n">
        <v>620.1</v>
      </c>
      <c r="F688" s="6" t="n">
        <v>10870</v>
      </c>
      <c r="G688" s="5" t="n">
        <v>68507731353.91</v>
      </c>
      <c r="H688" s="4" t="n">
        <f aca="false">IFERROR(IF(AND(VLOOKUP($B688,Ref_Acuerdos!$A:$E,2,FALSE())="FTA",$A688&gt;=VLOOKUP($B688,Ref_Acuerdos!$A:$E,3,FALSE())),1,0),0)</f>
        <v>1</v>
      </c>
      <c r="I688" s="4" t="n">
        <f aca="false">IFERROR(IF(AND(VLOOKUP($B688,Ref_Acuerdos!$A:$E,2,FALSE())="PTA",$A688&gt;=VLOOKUP($B688,Ref_Acuerdos!$A:$E,3,FALSE())),1,0),0)</f>
        <v>0</v>
      </c>
      <c r="J688" s="7" t="n">
        <f aca="false">IFERROR(IF($A688&gt;=VLOOKUP($B688,Ref_Acuerdos!$A:$E,3,FALSE()),VLOOKUP($B688,Ref_Acuerdos!$A:$E,4,FALSE()),""),"")</f>
        <v>0</v>
      </c>
      <c r="K688" s="4" t="str">
        <f aca="false">IFERROR(IF($A688&gt;=VLOOKUP($B688,Ref_Acuerdos!$A:$E,3,FALSE()),VLOOKUP($B688,Ref_Acuerdos!$A:$E,5,FALSE()),"Sin FTA/PTA vigente ese año - arancel NMF"),"Sin FTA/PTA identificado - arancel NMF")</f>
        <v>UE-Ecuador Acuerdo Multipartes, vigente desde ene-2017</v>
      </c>
    </row>
    <row r="689" customFormat="false" ht="15" hidden="false" customHeight="false" outlineLevel="0" collapsed="false">
      <c r="A689" s="2" t="n">
        <v>2019</v>
      </c>
      <c r="B689" s="2" t="s">
        <v>116</v>
      </c>
      <c r="C689" s="4" t="str">
        <f aca="false">IFERROR(VLOOKUP($B689,Ref_Continente!$A:$B,2,FALSE()),"Sin clasificar")</f>
        <v>Asia</v>
      </c>
      <c r="D689" s="5" t="n">
        <v>5273</v>
      </c>
      <c r="E689" s="6" t="n">
        <v>1154</v>
      </c>
      <c r="F689" s="6" t="n">
        <v>14200</v>
      </c>
      <c r="G689" s="5" t="n">
        <v>433926208304.97</v>
      </c>
      <c r="H689" s="4" t="n">
        <f aca="false">IFERROR(IF(AND(VLOOKUP($B689,Ref_Acuerdos!$A:$E,2,FALSE())="FTA",$A689&gt;=VLOOKUP($B689,Ref_Acuerdos!$A:$E,3,FALSE())),1,0),0)</f>
        <v>0</v>
      </c>
      <c r="I689" s="4" t="n">
        <f aca="false">IFERROR(IF(AND(VLOOKUP($B689,Ref_Acuerdos!$A:$E,2,FALSE())="PTA",$A689&gt;=VLOOKUP($B689,Ref_Acuerdos!$A:$E,3,FALSE())),1,0),0)</f>
        <v>0</v>
      </c>
      <c r="J689" s="7" t="str">
        <f aca="false">IFERROR(IF($A689&gt;=VLOOKUP($B689,Ref_Acuerdos!$A:$E,3,FALSE()),VLOOKUP($B689,Ref_Acuerdos!$A:$E,4,FALSE()),""),"")</f>
        <v/>
      </c>
      <c r="K689" s="4" t="str">
        <f aca="false">IFERROR(IF($A689&gt;=VLOOKUP($B689,Ref_Acuerdos!$A:$E,3,FALSE()),VLOOKUP($B689,Ref_Acuerdos!$A:$E,5,FALSE()),"Sin FTA/PTA vigente ese año - arancel NMF"),"Sin FTA/PTA identificado - arancel NMF")</f>
        <v>Sin FTA/PTA identificado - arancel NMF</v>
      </c>
    </row>
    <row r="690" customFormat="false" ht="15" hidden="false" customHeight="false" outlineLevel="0" collapsed="false">
      <c r="A690" s="2" t="n">
        <v>2019</v>
      </c>
      <c r="B690" s="2" t="s">
        <v>117</v>
      </c>
      <c r="C690" s="4" t="str">
        <f aca="false">IFERROR(VLOOKUP($B690,Ref_Continente!$A:$B,2,FALSE()),"Sin clasificar")</f>
        <v>Europe</v>
      </c>
      <c r="D690" s="5" t="n">
        <v>4848</v>
      </c>
      <c r="E690" s="6" t="n">
        <v>996.9</v>
      </c>
      <c r="F690" s="6" t="n">
        <v>9200</v>
      </c>
      <c r="G690" s="5" t="n">
        <v>2875710080015.3</v>
      </c>
      <c r="H690" s="4" t="n">
        <f aca="false">IFERROR(IF(AND(VLOOKUP($B690,Ref_Acuerdos!$A:$E,2,FALSE())="FTA",$A690&gt;=VLOOKUP($B690,Ref_Acuerdos!$A:$E,3,FALSE())),1,0),0)</f>
        <v>0</v>
      </c>
      <c r="I690" s="4" t="n">
        <f aca="false">IFERROR(IF(AND(VLOOKUP($B690,Ref_Acuerdos!$A:$E,2,FALSE())="PTA",$A690&gt;=VLOOKUP($B690,Ref_Acuerdos!$A:$E,3,FALSE())),1,0),0)</f>
        <v>0</v>
      </c>
      <c r="J690" s="7" t="str">
        <f aca="false">IFERROR(IF($A690&gt;=VLOOKUP($B690,Ref_Acuerdos!$A:$E,3,FALSE()),VLOOKUP($B690,Ref_Acuerdos!$A:$E,4,FALSE()),""),"")</f>
        <v/>
      </c>
      <c r="K690" s="4" t="str">
        <f aca="false">IFERROR(IF($A690&gt;=VLOOKUP($B690,Ref_Acuerdos!$A:$E,3,FALSE()),VLOOKUP($B690,Ref_Acuerdos!$A:$E,5,FALSE()),"Sin FTA/PTA vigente ese año - arancel NMF"),"Sin FTA/PTA identificado - arancel NMF")</f>
        <v>Sin FTA/PTA vigente ese año - arancel NMF</v>
      </c>
    </row>
    <row r="691" customFormat="false" ht="15" hidden="false" customHeight="false" outlineLevel="0" collapsed="false">
      <c r="A691" s="2" t="n">
        <v>2019</v>
      </c>
      <c r="B691" s="2" t="s">
        <v>60</v>
      </c>
      <c r="C691" s="4" t="str">
        <f aca="false">IFERROR(VLOOKUP($B691,Ref_Continente!$A:$B,2,FALSE()),"Sin clasificar")</f>
        <v>North America</v>
      </c>
      <c r="D691" s="5" t="n">
        <v>3985</v>
      </c>
      <c r="E691" s="6" t="n">
        <v>1043.4</v>
      </c>
      <c r="F691" s="6" t="n">
        <v>1900</v>
      </c>
      <c r="G691" s="5" t="n">
        <v>17026269262.53</v>
      </c>
      <c r="H691" s="4" t="n">
        <f aca="false">IFERROR(IF(AND(VLOOKUP($B691,Ref_Acuerdos!$A:$E,2,FALSE())="FTA",$A691&gt;=VLOOKUP($B691,Ref_Acuerdos!$A:$E,3,FALSE())),1,0),0)</f>
        <v>0</v>
      </c>
      <c r="I691" s="4" t="n">
        <f aca="false">IFERROR(IF(AND(VLOOKUP($B691,Ref_Acuerdos!$A:$E,2,FALSE())="PTA",$A691&gt;=VLOOKUP($B691,Ref_Acuerdos!$A:$E,3,FALSE())),1,0),0)</f>
        <v>0</v>
      </c>
      <c r="J691" s="7" t="str">
        <f aca="false">IFERROR(IF($A691&gt;=VLOOKUP($B691,Ref_Acuerdos!$A:$E,3,FALSE()),VLOOKUP($B691,Ref_Acuerdos!$A:$E,4,FALSE()),""),"")</f>
        <v/>
      </c>
      <c r="K691" s="4" t="str">
        <f aca="false">IFERROR(IF($A691&gt;=VLOOKUP($B691,Ref_Acuerdos!$A:$E,3,FALSE()),VLOOKUP($B691,Ref_Acuerdos!$A:$E,5,FALSE()),"Sin FTA/PTA vigente ese año - arancel NMF"),"Sin FTA/PTA identificado - arancel NMF")</f>
        <v>Sin FTA/PTA identificado - arancel NMF</v>
      </c>
    </row>
    <row r="692" customFormat="false" ht="15" hidden="false" customHeight="false" outlineLevel="0" collapsed="false">
      <c r="A692" s="2" t="n">
        <v>2019</v>
      </c>
      <c r="B692" s="2" t="s">
        <v>31</v>
      </c>
      <c r="C692" s="4" t="str">
        <f aca="false">IFERROR(VLOOKUP($B692,Ref_Continente!$A:$B,2,FALSE()),"Sin clasificar")</f>
        <v>Europe</v>
      </c>
      <c r="D692" s="5" t="n">
        <v>3761</v>
      </c>
      <c r="E692" s="6" t="n">
        <v>830.4</v>
      </c>
      <c r="F692" s="6" t="n">
        <v>10400</v>
      </c>
      <c r="G692" s="5" t="n">
        <v>61466721186.31</v>
      </c>
      <c r="H692" s="4" t="n">
        <f aca="false">IFERROR(IF(AND(VLOOKUP($B692,Ref_Acuerdos!$A:$E,2,FALSE())="FTA",$A692&gt;=VLOOKUP($B692,Ref_Acuerdos!$A:$E,3,FALSE())),1,0),0)</f>
        <v>1</v>
      </c>
      <c r="I692" s="4" t="n">
        <f aca="false">IFERROR(IF(AND(VLOOKUP($B692,Ref_Acuerdos!$A:$E,2,FALSE())="PTA",$A692&gt;=VLOOKUP($B692,Ref_Acuerdos!$A:$E,3,FALSE())),1,0),0)</f>
        <v>0</v>
      </c>
      <c r="J692" s="7" t="n">
        <f aca="false">IFERROR(IF($A692&gt;=VLOOKUP($B692,Ref_Acuerdos!$A:$E,3,FALSE()),VLOOKUP($B692,Ref_Acuerdos!$A:$E,4,FALSE()),""),"")</f>
        <v>0</v>
      </c>
      <c r="K692" s="4" t="str">
        <f aca="false">IFERROR(IF($A692&gt;=VLOOKUP($B692,Ref_Acuerdos!$A:$E,3,FALSE()),VLOOKUP($B692,Ref_Acuerdos!$A:$E,5,FALSE()),"Sin FTA/PTA vigente ese año - arancel NMF"),"Sin FTA/PTA identificado - arancel NMF")</f>
        <v>UE-Ecuador Acuerdo Multipartes, vigente desde ene-2017</v>
      </c>
    </row>
    <row r="693" customFormat="false" ht="15" hidden="false" customHeight="false" outlineLevel="0" collapsed="false">
      <c r="A693" s="2" t="n">
        <v>2019</v>
      </c>
      <c r="B693" s="2" t="s">
        <v>97</v>
      </c>
      <c r="C693" s="4" t="str">
        <f aca="false">IFERROR(VLOOKUP($B693,Ref_Continente!$A:$B,2,FALSE()),"Sin clasificar")</f>
        <v>North America</v>
      </c>
      <c r="D693" s="5" t="n">
        <v>1905</v>
      </c>
      <c r="E693" s="6" t="n">
        <v>729.4</v>
      </c>
      <c r="F693" s="6" t="n">
        <v>2900</v>
      </c>
      <c r="G693" s="5"/>
      <c r="H693" s="4" t="n">
        <f aca="false">IFERROR(IF(AND(VLOOKUP($B693,Ref_Acuerdos!$A:$E,2,FALSE())="FTA",$A693&gt;=VLOOKUP($B693,Ref_Acuerdos!$A:$E,3,FALSE())),1,0),0)</f>
        <v>0</v>
      </c>
      <c r="I693" s="4" t="n">
        <f aca="false">IFERROR(IF(AND(VLOOKUP($B693,Ref_Acuerdos!$A:$E,2,FALSE())="PTA",$A693&gt;=VLOOKUP($B693,Ref_Acuerdos!$A:$E,3,FALSE())),1,0),0)</f>
        <v>0</v>
      </c>
      <c r="J693" s="7" t="str">
        <f aca="false">IFERROR(IF($A693&gt;=VLOOKUP($B693,Ref_Acuerdos!$A:$E,3,FALSE()),VLOOKUP($B693,Ref_Acuerdos!$A:$E,4,FALSE()),""),"")</f>
        <v/>
      </c>
      <c r="K693" s="4" t="str">
        <f aca="false">IFERROR(IF($A693&gt;=VLOOKUP($B693,Ref_Acuerdos!$A:$E,3,FALSE()),VLOOKUP($B693,Ref_Acuerdos!$A:$E,5,FALSE()),"Sin FTA/PTA vigente ese año - arancel NMF"),"Sin FTA/PTA identificado - arancel NMF")</f>
        <v>Sin FTA/PTA identificado - arancel NMF</v>
      </c>
    </row>
    <row r="694" customFormat="false" ht="15" hidden="false" customHeight="false" outlineLevel="0" collapsed="false">
      <c r="A694" s="2" t="n">
        <v>2019</v>
      </c>
      <c r="B694" s="2" t="s">
        <v>46</v>
      </c>
      <c r="C694" s="4" t="str">
        <f aca="false">IFERROR(VLOOKUP($B694,Ref_Continente!$A:$B,2,FALSE()),"Sin clasificar")</f>
        <v>Europe</v>
      </c>
      <c r="D694" s="5" t="n">
        <v>1596</v>
      </c>
      <c r="E694" s="6" t="n">
        <v>541.6</v>
      </c>
      <c r="F694" s="6" t="n">
        <v>11250</v>
      </c>
      <c r="G694" s="5" t="n">
        <v>207305649887.02</v>
      </c>
      <c r="H694" s="4" t="n">
        <f aca="false">IFERROR(IF(AND(VLOOKUP($B694,Ref_Acuerdos!$A:$E,2,FALSE())="FTA",$A694&gt;=VLOOKUP($B694,Ref_Acuerdos!$A:$E,3,FALSE())),1,0),0)</f>
        <v>1</v>
      </c>
      <c r="I694" s="4" t="n">
        <f aca="false">IFERROR(IF(AND(VLOOKUP($B694,Ref_Acuerdos!$A:$E,2,FALSE())="PTA",$A694&gt;=VLOOKUP($B694,Ref_Acuerdos!$A:$E,3,FALSE())),1,0),0)</f>
        <v>0</v>
      </c>
      <c r="J694" s="7" t="n">
        <f aca="false">IFERROR(IF($A694&gt;=VLOOKUP($B694,Ref_Acuerdos!$A:$E,3,FALSE()),VLOOKUP($B694,Ref_Acuerdos!$A:$E,4,FALSE()),""),"")</f>
        <v>0</v>
      </c>
      <c r="K694" s="4" t="str">
        <f aca="false">IFERROR(IF($A694&gt;=VLOOKUP($B694,Ref_Acuerdos!$A:$E,3,FALSE()),VLOOKUP($B694,Ref_Acuerdos!$A:$E,5,FALSE()),"Sin FTA/PTA vigente ese año - arancel NMF"),"Sin FTA/PTA identificado - arancel NMF")</f>
        <v>UE-Ecuador Acuerdo Multipartes, vigente desde ene-2017</v>
      </c>
    </row>
    <row r="695" customFormat="false" ht="15" hidden="false" customHeight="false" outlineLevel="0" collapsed="false">
      <c r="A695" s="2" t="n">
        <v>2019</v>
      </c>
      <c r="B695" s="2" t="s">
        <v>16</v>
      </c>
      <c r="C695" s="4" t="str">
        <f aca="false">IFERROR(VLOOKUP($B695,Ref_Continente!$A:$B,2,FALSE()),"Sin clasificar")</f>
        <v>Asia</v>
      </c>
      <c r="D695" s="5" t="n">
        <v>1536</v>
      </c>
      <c r="E695" s="6" t="n">
        <v>598.4</v>
      </c>
      <c r="F695" s="6" t="n">
        <v>13100</v>
      </c>
      <c r="G695" s="5" t="n">
        <v>48174235294.12</v>
      </c>
      <c r="H695" s="4" t="n">
        <f aca="false">IFERROR(IF(AND(VLOOKUP($B695,Ref_Acuerdos!$A:$E,2,FALSE())="FTA",$A695&gt;=VLOOKUP($B695,Ref_Acuerdos!$A:$E,3,FALSE())),1,0),0)</f>
        <v>0</v>
      </c>
      <c r="I695" s="4" t="n">
        <f aca="false">IFERROR(IF(AND(VLOOKUP($B695,Ref_Acuerdos!$A:$E,2,FALSE())="PTA",$A695&gt;=VLOOKUP($B695,Ref_Acuerdos!$A:$E,3,FALSE())),1,0),0)</f>
        <v>0</v>
      </c>
      <c r="J695" s="7" t="str">
        <f aca="false">IFERROR(IF($A695&gt;=VLOOKUP($B695,Ref_Acuerdos!$A:$E,3,FALSE()),VLOOKUP($B695,Ref_Acuerdos!$A:$E,4,FALSE()),""),"")</f>
        <v/>
      </c>
      <c r="K695" s="4" t="str">
        <f aca="false">IFERROR(IF($A695&gt;=VLOOKUP($B695,Ref_Acuerdos!$A:$E,3,FALSE()),VLOOKUP($B695,Ref_Acuerdos!$A:$E,5,FALSE()),"Sin FTA/PTA vigente ese año - arancel NMF"),"Sin FTA/PTA identificado - arancel NMF")</f>
        <v>Sin FTA/PTA identificado - arancel NMF</v>
      </c>
    </row>
    <row r="696" customFormat="false" ht="15" hidden="false" customHeight="false" outlineLevel="0" collapsed="false">
      <c r="A696" s="2" t="n">
        <v>2019</v>
      </c>
      <c r="B696" s="2" t="s">
        <v>35</v>
      </c>
      <c r="C696" s="4" t="str">
        <f aca="false">IFERROR(VLOOKUP($B696,Ref_Continente!$A:$B,2,FALSE()),"Sin clasificar")</f>
        <v>Europe</v>
      </c>
      <c r="D696" s="5" t="n">
        <v>1309</v>
      </c>
      <c r="E696" s="6" t="n">
        <v>501.5</v>
      </c>
      <c r="F696" s="6" t="n">
        <v>10100</v>
      </c>
      <c r="G696" s="5" t="n">
        <v>256794209028.77</v>
      </c>
      <c r="H696" s="4" t="n">
        <f aca="false">IFERROR(IF(AND(VLOOKUP($B696,Ref_Acuerdos!$A:$E,2,FALSE())="FTA",$A696&gt;=VLOOKUP($B696,Ref_Acuerdos!$A:$E,3,FALSE())),1,0),0)</f>
        <v>1</v>
      </c>
      <c r="I696" s="4" t="n">
        <f aca="false">IFERROR(IF(AND(VLOOKUP($B696,Ref_Acuerdos!$A:$E,2,FALSE())="PTA",$A696&gt;=VLOOKUP($B696,Ref_Acuerdos!$A:$E,3,FALSE())),1,0),0)</f>
        <v>0</v>
      </c>
      <c r="J696" s="7" t="n">
        <f aca="false">IFERROR(IF($A696&gt;=VLOOKUP($B696,Ref_Acuerdos!$A:$E,3,FALSE()),VLOOKUP($B696,Ref_Acuerdos!$A:$E,4,FALSE()),""),"")</f>
        <v>0</v>
      </c>
      <c r="K696" s="4" t="str">
        <f aca="false">IFERROR(IF($A696&gt;=VLOOKUP($B696,Ref_Acuerdos!$A:$E,3,FALSE()),VLOOKUP($B696,Ref_Acuerdos!$A:$E,5,FALSE()),"Sin FTA/PTA vigente ese año - arancel NMF"),"Sin FTA/PTA identificado - arancel NMF")</f>
        <v>UE-Ecuador Acuerdo Multipartes, vigente desde ene-2017</v>
      </c>
    </row>
    <row r="697" customFormat="false" ht="15" hidden="false" customHeight="false" outlineLevel="0" collapsed="false">
      <c r="A697" s="2" t="n">
        <v>2019</v>
      </c>
      <c r="B697" s="2" t="s">
        <v>72</v>
      </c>
      <c r="C697" s="4" t="str">
        <f aca="false">IFERROR(VLOOKUP($B697,Ref_Continente!$A:$B,2,FALSE()),"Sin clasificar")</f>
        <v>Europe</v>
      </c>
      <c r="D697" s="5" t="n">
        <v>1262</v>
      </c>
      <c r="E697" s="6" t="n">
        <v>517.3</v>
      </c>
      <c r="F697" s="6" t="n">
        <v>10200</v>
      </c>
      <c r="G697" s="5" t="n">
        <v>16337793530.73</v>
      </c>
      <c r="H697" s="4" t="n">
        <f aca="false">IFERROR(IF(AND(VLOOKUP($B697,Ref_Acuerdos!$A:$E,2,FALSE())="FTA",$A697&gt;=VLOOKUP($B697,Ref_Acuerdos!$A:$E,3,FALSE())),1,0),0)</f>
        <v>1</v>
      </c>
      <c r="I697" s="4" t="n">
        <f aca="false">IFERROR(IF(AND(VLOOKUP($B697,Ref_Acuerdos!$A:$E,2,FALSE())="PTA",$A697&gt;=VLOOKUP($B697,Ref_Acuerdos!$A:$E,3,FALSE())),1,0),0)</f>
        <v>0</v>
      </c>
      <c r="J697" s="7" t="n">
        <f aca="false">IFERROR(IF($A697&gt;=VLOOKUP($B697,Ref_Acuerdos!$A:$E,3,FALSE()),VLOOKUP($B697,Ref_Acuerdos!$A:$E,4,FALSE()),""),"")</f>
        <v>0</v>
      </c>
      <c r="K697" s="4" t="str">
        <f aca="false">IFERROR(IF($A697&gt;=VLOOKUP($B697,Ref_Acuerdos!$A:$E,3,FALSE()),VLOOKUP($B697,Ref_Acuerdos!$A:$E,5,FALSE()),"Sin FTA/PTA vigente ese año - arancel NMF"),"Sin FTA/PTA identificado - arancel NMF")</f>
        <v>UE-Ecuador Acuerdo Multipartes, vigente desde ene-2017</v>
      </c>
    </row>
    <row r="698" customFormat="false" ht="15" hidden="false" customHeight="false" outlineLevel="0" collapsed="false">
      <c r="A698" s="2" t="n">
        <v>2019</v>
      </c>
      <c r="B698" s="2" t="s">
        <v>51</v>
      </c>
      <c r="C698" s="4" t="str">
        <f aca="false">IFERROR(VLOOKUP($B698,Ref_Continente!$A:$B,2,FALSE()),"Sin clasificar")</f>
        <v>North America</v>
      </c>
      <c r="D698" s="5" t="n">
        <v>1232</v>
      </c>
      <c r="E698" s="6" t="n">
        <v>428.2</v>
      </c>
      <c r="F698" s="6" t="n">
        <v>1800</v>
      </c>
      <c r="G698" s="5" t="n">
        <v>24882225741.81</v>
      </c>
      <c r="H698" s="4" t="n">
        <f aca="false">IFERROR(IF(AND(VLOOKUP($B698,Ref_Acuerdos!$A:$E,2,FALSE())="FTA",$A698&gt;=VLOOKUP($B698,Ref_Acuerdos!$A:$E,3,FALSE())),1,0),0)</f>
        <v>0</v>
      </c>
      <c r="I698" s="4" t="n">
        <f aca="false">IFERROR(IF(AND(VLOOKUP($B698,Ref_Acuerdos!$A:$E,2,FALSE())="PTA",$A698&gt;=VLOOKUP($B698,Ref_Acuerdos!$A:$E,3,FALSE())),1,0),0)</f>
        <v>0</v>
      </c>
      <c r="J698" s="7" t="str">
        <f aca="false">IFERROR(IF($A698&gt;=VLOOKUP($B698,Ref_Acuerdos!$A:$E,3,FALSE()),VLOOKUP($B698,Ref_Acuerdos!$A:$E,4,FALSE()),""),"")</f>
        <v/>
      </c>
      <c r="K698" s="4" t="str">
        <f aca="false">IFERROR(IF($A698&gt;=VLOOKUP($B698,Ref_Acuerdos!$A:$E,3,FALSE()),VLOOKUP($B698,Ref_Acuerdos!$A:$E,5,FALSE()),"Sin FTA/PTA vigente ese año - arancel NMF"),"Sin FTA/PTA identificado - arancel NMF")</f>
        <v>Sin FTA/PTA identificado - arancel NMF</v>
      </c>
    </row>
    <row r="699" customFormat="false" ht="15" hidden="false" customHeight="false" outlineLevel="0" collapsed="false">
      <c r="A699" s="2" t="n">
        <v>2019</v>
      </c>
      <c r="B699" s="2" t="s">
        <v>44</v>
      </c>
      <c r="C699" s="4" t="str">
        <f aca="false">IFERROR(VLOOKUP($B699,Ref_Continente!$A:$B,2,FALSE()),"Sin clasificar")</f>
        <v>Asia</v>
      </c>
      <c r="D699" s="5" t="n">
        <v>890</v>
      </c>
      <c r="E699" s="6" t="n">
        <v>562</v>
      </c>
      <c r="F699" s="6" t="n">
        <v>11600</v>
      </c>
      <c r="G699" s="5" t="n">
        <v>17638337116.91</v>
      </c>
      <c r="H699" s="4" t="n">
        <f aca="false">IFERROR(IF(AND(VLOOKUP($B699,Ref_Acuerdos!$A:$E,2,FALSE())="FTA",$A699&gt;=VLOOKUP($B699,Ref_Acuerdos!$A:$E,3,FALSE())),1,0),0)</f>
        <v>0</v>
      </c>
      <c r="I699" s="4" t="n">
        <f aca="false">IFERROR(IF(AND(VLOOKUP($B699,Ref_Acuerdos!$A:$E,2,FALSE())="PTA",$A699&gt;=VLOOKUP($B699,Ref_Acuerdos!$A:$E,3,FALSE())),1,0),0)</f>
        <v>0</v>
      </c>
      <c r="J699" s="7" t="str">
        <f aca="false">IFERROR(IF($A699&gt;=VLOOKUP($B699,Ref_Acuerdos!$A:$E,3,FALSE()),VLOOKUP($B699,Ref_Acuerdos!$A:$E,4,FALSE()),""),"")</f>
        <v/>
      </c>
      <c r="K699" s="4" t="str">
        <f aca="false">IFERROR(IF($A699&gt;=VLOOKUP($B699,Ref_Acuerdos!$A:$E,3,FALSE()),VLOOKUP($B699,Ref_Acuerdos!$A:$E,5,FALSE()),"Sin FTA/PTA vigente ese año - arancel NMF"),"Sin FTA/PTA identificado - arancel NMF")</f>
        <v>Sin FTA/PTA identificado - arancel NMF</v>
      </c>
    </row>
    <row r="700" customFormat="false" ht="15" hidden="false" customHeight="false" outlineLevel="0" collapsed="false">
      <c r="A700" s="2" t="n">
        <v>2019</v>
      </c>
      <c r="B700" s="2" t="s">
        <v>85</v>
      </c>
      <c r="C700" s="4" t="str">
        <f aca="false">IFERROR(VLOOKUP($B700,Ref_Continente!$A:$B,2,FALSE()),"Sin clasificar")</f>
        <v>Asia</v>
      </c>
      <c r="D700" s="5" t="n">
        <v>838</v>
      </c>
      <c r="E700" s="6" t="n">
        <v>283.1</v>
      </c>
      <c r="F700" s="6" t="n">
        <v>0</v>
      </c>
      <c r="G700" s="5"/>
      <c r="H700" s="4" t="n">
        <f aca="false">IFERROR(IF(AND(VLOOKUP($B700,Ref_Acuerdos!$A:$E,2,FALSE())="FTA",$A700&gt;=VLOOKUP($B700,Ref_Acuerdos!$A:$E,3,FALSE())),1,0),0)</f>
        <v>0</v>
      </c>
      <c r="I700" s="4" t="n">
        <f aca="false">IFERROR(IF(AND(VLOOKUP($B700,Ref_Acuerdos!$A:$E,2,FALSE())="PTA",$A700&gt;=VLOOKUP($B700,Ref_Acuerdos!$A:$E,3,FALSE())),1,0),0)</f>
        <v>0</v>
      </c>
      <c r="J700" s="7" t="str">
        <f aca="false">IFERROR(IF($A700&gt;=VLOOKUP($B700,Ref_Acuerdos!$A:$E,3,FALSE()),VLOOKUP($B700,Ref_Acuerdos!$A:$E,4,FALSE()),""),"")</f>
        <v/>
      </c>
      <c r="K700" s="4" t="str">
        <f aca="false">IFERROR(IF($A700&gt;=VLOOKUP($B700,Ref_Acuerdos!$A:$E,3,FALSE()),VLOOKUP($B700,Ref_Acuerdos!$A:$E,5,FALSE()),"Sin FTA/PTA vigente ese año - arancel NMF"),"Sin FTA/PTA identificado - arancel NMF")</f>
        <v>Sin FTA/PTA identificado - arancel NMF</v>
      </c>
    </row>
    <row r="701" customFormat="false" ht="15" hidden="false" customHeight="false" outlineLevel="0" collapsed="false">
      <c r="A701" s="2" t="n">
        <v>2019</v>
      </c>
      <c r="B701" s="2" t="s">
        <v>68</v>
      </c>
      <c r="C701" s="4" t="str">
        <f aca="false">IFERROR(VLOOKUP($B701,Ref_Continente!$A:$B,2,FALSE()),"Sin clasificar")</f>
        <v>Europe</v>
      </c>
      <c r="D701" s="5" t="n">
        <v>658</v>
      </c>
      <c r="E701" s="6" t="n">
        <v>210</v>
      </c>
      <c r="F701" s="6" t="n">
        <v>10250</v>
      </c>
      <c r="G701" s="5" t="n">
        <v>55122066225.8</v>
      </c>
      <c r="H701" s="4" t="n">
        <f aca="false">IFERROR(IF(AND(VLOOKUP($B701,Ref_Acuerdos!$A:$E,2,FALSE())="FTA",$A701&gt;=VLOOKUP($B701,Ref_Acuerdos!$A:$E,3,FALSE())),1,0),0)</f>
        <v>1</v>
      </c>
      <c r="I701" s="4" t="n">
        <f aca="false">IFERROR(IF(AND(VLOOKUP($B701,Ref_Acuerdos!$A:$E,2,FALSE())="PTA",$A701&gt;=VLOOKUP($B701,Ref_Acuerdos!$A:$E,3,FALSE())),1,0),0)</f>
        <v>0</v>
      </c>
      <c r="J701" s="7" t="n">
        <f aca="false">IFERROR(IF($A701&gt;=VLOOKUP($B701,Ref_Acuerdos!$A:$E,3,FALSE()),VLOOKUP($B701,Ref_Acuerdos!$A:$E,4,FALSE()),""),"")</f>
        <v>0</v>
      </c>
      <c r="K701" s="4" t="str">
        <f aca="false">IFERROR(IF($A701&gt;=VLOOKUP($B701,Ref_Acuerdos!$A:$E,3,FALSE()),VLOOKUP($B701,Ref_Acuerdos!$A:$E,5,FALSE()),"Sin FTA/PTA vigente ese año - arancel NMF"),"Sin FTA/PTA identificado - arancel NMF")</f>
        <v>UE-Ecuador Acuerdo Multipartes, vigente desde ene-2017</v>
      </c>
    </row>
    <row r="702" customFormat="false" ht="15" hidden="false" customHeight="false" outlineLevel="0" collapsed="false">
      <c r="A702" s="2" t="n">
        <v>2019</v>
      </c>
      <c r="B702" s="2" t="s">
        <v>47</v>
      </c>
      <c r="C702" s="4" t="str">
        <f aca="false">IFERROR(VLOOKUP($B702,Ref_Continente!$A:$B,2,FALSE()),"Sin clasificar")</f>
        <v>Oceania</v>
      </c>
      <c r="D702" s="5" t="n">
        <v>611</v>
      </c>
      <c r="E702" s="6" t="n">
        <v>101.7</v>
      </c>
      <c r="F702" s="6" t="n">
        <v>14200</v>
      </c>
      <c r="G702" s="5" t="n">
        <v>6355000000</v>
      </c>
      <c r="H702" s="4" t="n">
        <f aca="false">IFERROR(IF(AND(VLOOKUP($B702,Ref_Acuerdos!$A:$E,2,FALSE())="FTA",$A702&gt;=VLOOKUP($B702,Ref_Acuerdos!$A:$E,3,FALSE())),1,0),0)</f>
        <v>0</v>
      </c>
      <c r="I702" s="4" t="n">
        <f aca="false">IFERROR(IF(AND(VLOOKUP($B702,Ref_Acuerdos!$A:$E,2,FALSE())="PTA",$A702&gt;=VLOOKUP($B702,Ref_Acuerdos!$A:$E,3,FALSE())),1,0),0)</f>
        <v>0</v>
      </c>
      <c r="J702" s="7" t="str">
        <f aca="false">IFERROR(IF($A702&gt;=VLOOKUP($B702,Ref_Acuerdos!$A:$E,3,FALSE()),VLOOKUP($B702,Ref_Acuerdos!$A:$E,4,FALSE()),""),"")</f>
        <v/>
      </c>
      <c r="K702" s="4" t="str">
        <f aca="false">IFERROR(IF($A702&gt;=VLOOKUP($B702,Ref_Acuerdos!$A:$E,3,FALSE()),VLOOKUP($B702,Ref_Acuerdos!$A:$E,5,FALSE()),"Sin FTA/PTA vigente ese año - arancel NMF"),"Sin FTA/PTA identificado - arancel NMF")</f>
        <v>Sin FTA/PTA identificado - arancel NMF</v>
      </c>
    </row>
    <row r="703" customFormat="false" ht="15" hidden="false" customHeight="false" outlineLevel="0" collapsed="false">
      <c r="A703" s="2" t="n">
        <v>2019</v>
      </c>
      <c r="B703" s="2" t="s">
        <v>104</v>
      </c>
      <c r="C703" s="4" t="str">
        <f aca="false">IFERROR(VLOOKUP($B703,Ref_Continente!$A:$B,2,FALSE()),"Sin clasificar")</f>
        <v>Europe</v>
      </c>
      <c r="D703" s="5" t="n">
        <v>599</v>
      </c>
      <c r="E703" s="6" t="n">
        <v>123.5</v>
      </c>
      <c r="F703" s="6" t="n">
        <v>10300</v>
      </c>
      <c r="G703" s="5" t="n">
        <v>53909922735.55</v>
      </c>
      <c r="H703" s="4" t="n">
        <f aca="false">IFERROR(IF(AND(VLOOKUP($B703,Ref_Acuerdos!$A:$E,2,FALSE())="FTA",$A703&gt;=VLOOKUP($B703,Ref_Acuerdos!$A:$E,3,FALSE())),1,0),0)</f>
        <v>1</v>
      </c>
      <c r="I703" s="4" t="n">
        <f aca="false">IFERROR(IF(AND(VLOOKUP($B703,Ref_Acuerdos!$A:$E,2,FALSE())="PTA",$A703&gt;=VLOOKUP($B703,Ref_Acuerdos!$A:$E,3,FALSE())),1,0),0)</f>
        <v>0</v>
      </c>
      <c r="J703" s="7" t="n">
        <f aca="false">IFERROR(IF($A703&gt;=VLOOKUP($B703,Ref_Acuerdos!$A:$E,3,FALSE()),VLOOKUP($B703,Ref_Acuerdos!$A:$E,4,FALSE()),""),"")</f>
        <v>0</v>
      </c>
      <c r="K703" s="4" t="str">
        <f aca="false">IFERROR(IF($A703&gt;=VLOOKUP($B703,Ref_Acuerdos!$A:$E,3,FALSE()),VLOOKUP($B703,Ref_Acuerdos!$A:$E,5,FALSE()),"Sin FTA/PTA vigente ese año - arancel NMF"),"Sin FTA/PTA identificado - arancel NMF")</f>
        <v>UE-Ecuador Acuerdo Multipartes, vigente desde ene-2017</v>
      </c>
    </row>
    <row r="704" customFormat="false" ht="15" hidden="false" customHeight="false" outlineLevel="0" collapsed="false">
      <c r="A704" s="2" t="n">
        <v>2019</v>
      </c>
      <c r="B704" s="2" t="s">
        <v>18</v>
      </c>
      <c r="C704" s="4" t="str">
        <f aca="false">IFERROR(VLOOKUP($B704,Ref_Continente!$A:$B,2,FALSE()),"Sin clasificar")</f>
        <v>Asia</v>
      </c>
      <c r="D704" s="5" t="n">
        <v>518</v>
      </c>
      <c r="E704" s="6" t="n">
        <v>152.5</v>
      </c>
      <c r="F704" s="6" t="n">
        <v>13800</v>
      </c>
      <c r="G704" s="5" t="n">
        <v>40446808510.64</v>
      </c>
      <c r="H704" s="4" t="n">
        <f aca="false">IFERROR(IF(AND(VLOOKUP($B704,Ref_Acuerdos!$A:$E,2,FALSE())="FTA",$A704&gt;=VLOOKUP($B704,Ref_Acuerdos!$A:$E,3,FALSE())),1,0),0)</f>
        <v>0</v>
      </c>
      <c r="I704" s="4" t="n">
        <f aca="false">IFERROR(IF(AND(VLOOKUP($B704,Ref_Acuerdos!$A:$E,2,FALSE())="PTA",$A704&gt;=VLOOKUP($B704,Ref_Acuerdos!$A:$E,3,FALSE())),1,0),0)</f>
        <v>0</v>
      </c>
      <c r="J704" s="7" t="str">
        <f aca="false">IFERROR(IF($A704&gt;=VLOOKUP($B704,Ref_Acuerdos!$A:$E,3,FALSE()),VLOOKUP($B704,Ref_Acuerdos!$A:$E,4,FALSE()),""),"")</f>
        <v/>
      </c>
      <c r="K704" s="4" t="str">
        <f aca="false">IFERROR(IF($A704&gt;=VLOOKUP($B704,Ref_Acuerdos!$A:$E,3,FALSE()),VLOOKUP($B704,Ref_Acuerdos!$A:$E,5,FALSE()),"Sin FTA/PTA vigente ese año - arancel NMF"),"Sin FTA/PTA identificado - arancel NMF")</f>
        <v>Sin FTA/PTA identificado - arancel NMF</v>
      </c>
    </row>
    <row r="705" customFormat="false" ht="15" hidden="false" customHeight="false" outlineLevel="0" collapsed="false">
      <c r="A705" s="2" t="n">
        <v>2019</v>
      </c>
      <c r="B705" s="2" t="s">
        <v>102</v>
      </c>
      <c r="C705" s="4" t="str">
        <f aca="false">IFERROR(VLOOKUP($B705,Ref_Continente!$A:$B,2,FALSE()),"Sin clasificar")</f>
        <v>Asia</v>
      </c>
      <c r="D705" s="5" t="n">
        <v>506</v>
      </c>
      <c r="E705" s="6" t="n">
        <v>258</v>
      </c>
      <c r="F705" s="6" t="n">
        <v>18800</v>
      </c>
      <c r="G705" s="5" t="n">
        <v>376161998830.05</v>
      </c>
      <c r="H705" s="4" t="n">
        <f aca="false">IFERROR(IF(AND(VLOOKUP($B705,Ref_Acuerdos!$A:$E,2,FALSE())="FTA",$A705&gt;=VLOOKUP($B705,Ref_Acuerdos!$A:$E,3,FALSE())),1,0),0)</f>
        <v>0</v>
      </c>
      <c r="I705" s="4" t="n">
        <f aca="false">IFERROR(IF(AND(VLOOKUP($B705,Ref_Acuerdos!$A:$E,2,FALSE())="PTA",$A705&gt;=VLOOKUP($B705,Ref_Acuerdos!$A:$E,3,FALSE())),1,0),0)</f>
        <v>0</v>
      </c>
      <c r="J705" s="7" t="str">
        <f aca="false">IFERROR(IF($A705&gt;=VLOOKUP($B705,Ref_Acuerdos!$A:$E,3,FALSE()),VLOOKUP($B705,Ref_Acuerdos!$A:$E,4,FALSE()),""),"")</f>
        <v/>
      </c>
      <c r="K705" s="4" t="str">
        <f aca="false">IFERROR(IF($A705&gt;=VLOOKUP($B705,Ref_Acuerdos!$A:$E,3,FALSE()),VLOOKUP($B705,Ref_Acuerdos!$A:$E,5,FALSE()),"Sin FTA/PTA vigente ese año - arancel NMF"),"Sin FTA/PTA identificado - arancel NMF")</f>
        <v>Sin FTA/PTA identificado - arancel NMF</v>
      </c>
    </row>
    <row r="706" customFormat="false" ht="15" hidden="false" customHeight="false" outlineLevel="0" collapsed="false">
      <c r="A706" s="2" t="n">
        <v>2019</v>
      </c>
      <c r="B706" s="2" t="s">
        <v>17</v>
      </c>
      <c r="C706" s="4" t="str">
        <f aca="false">IFERROR(VLOOKUP($B706,Ref_Continente!$A:$B,2,FALSE()),"Sin clasificar")</f>
        <v>North America</v>
      </c>
      <c r="D706" s="5" t="n">
        <v>486</v>
      </c>
      <c r="E706" s="6" t="n">
        <v>251.9</v>
      </c>
      <c r="F706" s="6"/>
      <c r="G706" s="5"/>
      <c r="H706" s="4" t="n">
        <f aca="false">IFERROR(IF(AND(VLOOKUP($B706,Ref_Acuerdos!$A:$E,2,FALSE())="FTA",$A706&gt;=VLOOKUP($B706,Ref_Acuerdos!$A:$E,3,FALSE())),1,0),0)</f>
        <v>0</v>
      </c>
      <c r="I706" s="4" t="n">
        <f aca="false">IFERROR(IF(AND(VLOOKUP($B706,Ref_Acuerdos!$A:$E,2,FALSE())="PTA",$A706&gt;=VLOOKUP($B706,Ref_Acuerdos!$A:$E,3,FALSE())),1,0),0)</f>
        <v>0</v>
      </c>
      <c r="J706" s="7" t="str">
        <f aca="false">IFERROR(IF($A706&gt;=VLOOKUP($B706,Ref_Acuerdos!$A:$E,3,FALSE()),VLOOKUP($B706,Ref_Acuerdos!$A:$E,4,FALSE()),""),"")</f>
        <v/>
      </c>
      <c r="K706" s="4" t="str">
        <f aca="false">IFERROR(IF($A706&gt;=VLOOKUP($B706,Ref_Acuerdos!$A:$E,3,FALSE()),VLOOKUP($B706,Ref_Acuerdos!$A:$E,5,FALSE()),"Sin FTA/PTA vigente ese año - arancel NMF"),"Sin FTA/PTA identificado - arancel NMF")</f>
        <v>Sin FTA/PTA identificado - arancel NMF</v>
      </c>
    </row>
    <row r="707" customFormat="false" ht="15" hidden="false" customHeight="false" outlineLevel="0" collapsed="false">
      <c r="A707" s="2" t="n">
        <v>2019</v>
      </c>
      <c r="B707" s="2" t="s">
        <v>49</v>
      </c>
      <c r="C707" s="4" t="str">
        <f aca="false">IFERROR(VLOOKUP($B707,Ref_Continente!$A:$B,2,FALSE()),"Sin clasificar")</f>
        <v>South America</v>
      </c>
      <c r="D707" s="5" t="n">
        <v>327</v>
      </c>
      <c r="E707" s="6" t="n">
        <v>75</v>
      </c>
      <c r="F707" s="6" t="n">
        <v>2400</v>
      </c>
      <c r="G707" s="5" t="n">
        <v>5173760191.85</v>
      </c>
      <c r="H707" s="4" t="n">
        <f aca="false">IFERROR(IF(AND(VLOOKUP($B707,Ref_Acuerdos!$A:$E,2,FALSE())="FTA",$A707&gt;=VLOOKUP($B707,Ref_Acuerdos!$A:$E,3,FALSE())),1,0),0)</f>
        <v>0</v>
      </c>
      <c r="I707" s="4" t="n">
        <f aca="false">IFERROR(IF(AND(VLOOKUP($B707,Ref_Acuerdos!$A:$E,2,FALSE())="PTA",$A707&gt;=VLOOKUP($B707,Ref_Acuerdos!$A:$E,3,FALSE())),1,0),0)</f>
        <v>0</v>
      </c>
      <c r="J707" s="7" t="str">
        <f aca="false">IFERROR(IF($A707&gt;=VLOOKUP($B707,Ref_Acuerdos!$A:$E,3,FALSE()),VLOOKUP($B707,Ref_Acuerdos!$A:$E,4,FALSE()),""),"")</f>
        <v/>
      </c>
      <c r="K707" s="4" t="str">
        <f aca="false">IFERROR(IF($A707&gt;=VLOOKUP($B707,Ref_Acuerdos!$A:$E,3,FALSE()),VLOOKUP($B707,Ref_Acuerdos!$A:$E,5,FALSE()),"Sin FTA/PTA vigente ese año - arancel NMF"),"Sin FTA/PTA identificado - arancel NMF")</f>
        <v>Sin FTA/PTA identificado - arancel NMF</v>
      </c>
    </row>
    <row r="708" customFormat="false" ht="15" hidden="false" customHeight="false" outlineLevel="0" collapsed="false">
      <c r="A708" s="2" t="n">
        <v>2019</v>
      </c>
      <c r="B708" s="2" t="s">
        <v>40</v>
      </c>
      <c r="C708" s="4" t="str">
        <f aca="false">IFERROR(VLOOKUP($B708,Ref_Continente!$A:$B,2,FALSE()),"Sin clasificar")</f>
        <v>Europe</v>
      </c>
      <c r="D708" s="5" t="n">
        <v>288</v>
      </c>
      <c r="E708" s="6" t="n">
        <v>71.1</v>
      </c>
      <c r="F708" s="6" t="n">
        <v>10400</v>
      </c>
      <c r="G708" s="5" t="n">
        <v>31873748770.03</v>
      </c>
      <c r="H708" s="4" t="n">
        <f aca="false">IFERROR(IF(AND(VLOOKUP($B708,Ref_Acuerdos!$A:$E,2,FALSE())="FTA",$A708&gt;=VLOOKUP($B708,Ref_Acuerdos!$A:$E,3,FALSE())),1,0),0)</f>
        <v>1</v>
      </c>
      <c r="I708" s="4" t="n">
        <f aca="false">IFERROR(IF(AND(VLOOKUP($B708,Ref_Acuerdos!$A:$E,2,FALSE())="PTA",$A708&gt;=VLOOKUP($B708,Ref_Acuerdos!$A:$E,3,FALSE())),1,0),0)</f>
        <v>0</v>
      </c>
      <c r="J708" s="7" t="n">
        <f aca="false">IFERROR(IF($A708&gt;=VLOOKUP($B708,Ref_Acuerdos!$A:$E,3,FALSE()),VLOOKUP($B708,Ref_Acuerdos!$A:$E,4,FALSE()),""),"")</f>
        <v>0</v>
      </c>
      <c r="K708" s="4" t="str">
        <f aca="false">IFERROR(IF($A708&gt;=VLOOKUP($B708,Ref_Acuerdos!$A:$E,3,FALSE()),VLOOKUP($B708,Ref_Acuerdos!$A:$E,5,FALSE()),"Sin FTA/PTA vigente ese año - arancel NMF"),"Sin FTA/PTA identificado - arancel NMF")</f>
        <v>UE-Ecuador Acuerdo Multipartes, vigente desde ene-2017</v>
      </c>
    </row>
    <row r="709" customFormat="false" ht="15" hidden="false" customHeight="false" outlineLevel="0" collapsed="false">
      <c r="A709" s="2" t="n">
        <v>2019</v>
      </c>
      <c r="B709" s="2" t="s">
        <v>22</v>
      </c>
      <c r="C709" s="4" t="str">
        <f aca="false">IFERROR(VLOOKUP($B709,Ref_Continente!$A:$B,2,FALSE()),"Sin clasificar")</f>
        <v>Europe</v>
      </c>
      <c r="D709" s="5" t="n">
        <v>210</v>
      </c>
      <c r="E709" s="6" t="n">
        <v>42</v>
      </c>
      <c r="F709" s="6" t="n">
        <v>10500</v>
      </c>
      <c r="G709" s="5"/>
      <c r="H709" s="4" t="n">
        <f aca="false">IFERROR(IF(AND(VLOOKUP($B709,Ref_Acuerdos!$A:$E,2,FALSE())="FTA",$A709&gt;=VLOOKUP($B709,Ref_Acuerdos!$A:$E,3,FALSE())),1,0),0)</f>
        <v>0</v>
      </c>
      <c r="I709" s="4" t="n">
        <f aca="false">IFERROR(IF(AND(VLOOKUP($B709,Ref_Acuerdos!$A:$E,2,FALSE())="PTA",$A709&gt;=VLOOKUP($B709,Ref_Acuerdos!$A:$E,3,FALSE())),1,0),0)</f>
        <v>0</v>
      </c>
      <c r="J709" s="7" t="str">
        <f aca="false">IFERROR(IF($A709&gt;=VLOOKUP($B709,Ref_Acuerdos!$A:$E,3,FALSE()),VLOOKUP($B709,Ref_Acuerdos!$A:$E,4,FALSE()),""),"")</f>
        <v/>
      </c>
      <c r="K709" s="4" t="str">
        <f aca="false">IFERROR(IF($A709&gt;=VLOOKUP($B709,Ref_Acuerdos!$A:$E,3,FALSE()),VLOOKUP($B709,Ref_Acuerdos!$A:$E,5,FALSE()),"Sin FTA/PTA vigente ese año - arancel NMF"),"Sin FTA/PTA identificado - arancel NMF")</f>
        <v>Sin FTA/PTA identificado - arancel NMF</v>
      </c>
    </row>
    <row r="710" customFormat="false" ht="15" hidden="false" customHeight="false" outlineLevel="0" collapsed="false">
      <c r="A710" s="2" t="n">
        <v>2019</v>
      </c>
      <c r="B710" s="2" t="s">
        <v>27</v>
      </c>
      <c r="C710" s="4" t="str">
        <f aca="false">IFERROR(VLOOKUP($B710,Ref_Continente!$A:$B,2,FALSE()),"Sin clasificar")</f>
        <v>Asia</v>
      </c>
      <c r="D710" s="5" t="n">
        <v>200</v>
      </c>
      <c r="E710" s="6" t="n">
        <v>200</v>
      </c>
      <c r="F710" s="6" t="n">
        <v>17000</v>
      </c>
      <c r="G710" s="5" t="n">
        <v>14560167101283.4</v>
      </c>
      <c r="H710" s="4" t="n">
        <f aca="false">IFERROR(IF(AND(VLOOKUP($B710,Ref_Acuerdos!$A:$E,2,FALSE())="FTA",$A710&gt;=VLOOKUP($B710,Ref_Acuerdos!$A:$E,3,FALSE())),1,0),0)</f>
        <v>0</v>
      </c>
      <c r="I710" s="4" t="n">
        <f aca="false">IFERROR(IF(AND(VLOOKUP($B710,Ref_Acuerdos!$A:$E,2,FALSE())="PTA",$A710&gt;=VLOOKUP($B710,Ref_Acuerdos!$A:$E,3,FALSE())),1,0),0)</f>
        <v>0</v>
      </c>
      <c r="J710" s="7" t="str">
        <f aca="false">IFERROR(IF($A710&gt;=VLOOKUP($B710,Ref_Acuerdos!$A:$E,3,FALSE()),VLOOKUP($B710,Ref_Acuerdos!$A:$E,4,FALSE()),""),"")</f>
        <v/>
      </c>
      <c r="K710" s="4" t="str">
        <f aca="false">IFERROR(IF($A710&gt;=VLOOKUP($B710,Ref_Acuerdos!$A:$E,3,FALSE()),VLOOKUP($B710,Ref_Acuerdos!$A:$E,5,FALSE()),"Sin FTA/PTA vigente ese año - arancel NMF"),"Sin FTA/PTA identificado - arancel NMF")</f>
        <v>Sin FTA/PTA vigente ese año - arancel NMF</v>
      </c>
    </row>
    <row r="711" customFormat="false" ht="15" hidden="false" customHeight="false" outlineLevel="0" collapsed="false">
      <c r="A711" s="2" t="n">
        <v>2019</v>
      </c>
      <c r="B711" s="2" t="s">
        <v>54</v>
      </c>
      <c r="C711" s="4" t="str">
        <f aca="false">IFERROR(VLOOKUP($B711,Ref_Continente!$A:$B,2,FALSE()),"Sin clasificar")</f>
        <v>Asia</v>
      </c>
      <c r="D711" s="5" t="n">
        <v>200</v>
      </c>
      <c r="E711" s="6" t="n">
        <v>200</v>
      </c>
      <c r="F711" s="6" t="n">
        <v>19300</v>
      </c>
      <c r="G711" s="5" t="n">
        <v>1119099871350.2</v>
      </c>
      <c r="H711" s="4" t="n">
        <f aca="false">IFERROR(IF(AND(VLOOKUP($B711,Ref_Acuerdos!$A:$E,2,FALSE())="FTA",$A711&gt;=VLOOKUP($B711,Ref_Acuerdos!$A:$E,3,FALSE())),1,0),0)</f>
        <v>0</v>
      </c>
      <c r="I711" s="4" t="n">
        <f aca="false">IFERROR(IF(AND(VLOOKUP($B711,Ref_Acuerdos!$A:$E,2,FALSE())="PTA",$A711&gt;=VLOOKUP($B711,Ref_Acuerdos!$A:$E,3,FALSE())),1,0),0)</f>
        <v>0</v>
      </c>
      <c r="J711" s="7" t="str">
        <f aca="false">IFERROR(IF($A711&gt;=VLOOKUP($B711,Ref_Acuerdos!$A:$E,3,FALSE()),VLOOKUP($B711,Ref_Acuerdos!$A:$E,4,FALSE()),""),"")</f>
        <v/>
      </c>
      <c r="K711" s="4" t="str">
        <f aca="false">IFERROR(IF($A711&gt;=VLOOKUP($B711,Ref_Acuerdos!$A:$E,3,FALSE()),VLOOKUP($B711,Ref_Acuerdos!$A:$E,5,FALSE()),"Sin FTA/PTA vigente ese año - arancel NMF"),"Sin FTA/PTA identificado - arancel NMF")</f>
        <v>Sin FTA/PTA identificado - arancel NMF</v>
      </c>
    </row>
    <row r="712" customFormat="false" ht="15" hidden="false" customHeight="false" outlineLevel="0" collapsed="false">
      <c r="A712" s="2" t="n">
        <v>2019</v>
      </c>
      <c r="B712" s="2" t="s">
        <v>120</v>
      </c>
      <c r="C712" s="4" t="str">
        <f aca="false">IFERROR(VLOOKUP($B712,Ref_Continente!$A:$B,2,FALSE()),"Sin clasificar")</f>
        <v>Asia</v>
      </c>
      <c r="D712" s="5" t="n">
        <v>200</v>
      </c>
      <c r="E712" s="6" t="n">
        <v>200</v>
      </c>
      <c r="F712" s="6" t="n">
        <v>17600</v>
      </c>
      <c r="G712" s="5" t="n">
        <v>334365270496.67</v>
      </c>
      <c r="H712" s="4" t="n">
        <f aca="false">IFERROR(IF(AND(VLOOKUP($B712,Ref_Acuerdos!$A:$E,2,FALSE())="FTA",$A712&gt;=VLOOKUP($B712,Ref_Acuerdos!$A:$E,3,FALSE())),1,0),0)</f>
        <v>0</v>
      </c>
      <c r="I712" s="4" t="n">
        <f aca="false">IFERROR(IF(AND(VLOOKUP($B712,Ref_Acuerdos!$A:$E,2,FALSE())="PTA",$A712&gt;=VLOOKUP($B712,Ref_Acuerdos!$A:$E,3,FALSE())),1,0),0)</f>
        <v>0</v>
      </c>
      <c r="J712" s="7" t="str">
        <f aca="false">IFERROR(IF($A712&gt;=VLOOKUP($B712,Ref_Acuerdos!$A:$E,3,FALSE()),VLOOKUP($B712,Ref_Acuerdos!$A:$E,4,FALSE()),""),"")</f>
        <v/>
      </c>
      <c r="K712" s="4" t="str">
        <f aca="false">IFERROR(IF($A712&gt;=VLOOKUP($B712,Ref_Acuerdos!$A:$E,3,FALSE()),VLOOKUP($B712,Ref_Acuerdos!$A:$E,5,FALSE()),"Sin FTA/PTA vigente ese año - arancel NMF"),"Sin FTA/PTA identificado - arancel NMF")</f>
        <v>Sin FTA/PTA identificado - arancel NMF</v>
      </c>
    </row>
    <row r="713" customFormat="false" ht="15" hidden="false" customHeight="false" outlineLevel="0" collapsed="false">
      <c r="A713" s="2" t="n">
        <v>2019</v>
      </c>
      <c r="B713" s="2" t="s">
        <v>10</v>
      </c>
      <c r="C713" s="4" t="str">
        <f aca="false">IFERROR(VLOOKUP($B713,Ref_Continente!$A:$B,2,FALSE()),"Sin clasificar")</f>
        <v>North America</v>
      </c>
      <c r="D713" s="5" t="n">
        <v>172</v>
      </c>
      <c r="E713" s="6" t="n">
        <v>48.5</v>
      </c>
      <c r="F713" s="6" t="n">
        <v>2100</v>
      </c>
      <c r="G713" s="5" t="n">
        <v>3346623191.46</v>
      </c>
      <c r="H713" s="4" t="n">
        <f aca="false">IFERROR(IF(AND(VLOOKUP($B713,Ref_Acuerdos!$A:$E,2,FALSE())="FTA",$A713&gt;=VLOOKUP($B713,Ref_Acuerdos!$A:$E,3,FALSE())),1,0),0)</f>
        <v>0</v>
      </c>
      <c r="I713" s="4" t="n">
        <f aca="false">IFERROR(IF(AND(VLOOKUP($B713,Ref_Acuerdos!$A:$E,2,FALSE())="PTA",$A713&gt;=VLOOKUP($B713,Ref_Acuerdos!$A:$E,3,FALSE())),1,0),0)</f>
        <v>0</v>
      </c>
      <c r="J713" s="7" t="str">
        <f aca="false">IFERROR(IF($A713&gt;=VLOOKUP($B713,Ref_Acuerdos!$A:$E,3,FALSE()),VLOOKUP($B713,Ref_Acuerdos!$A:$E,4,FALSE()),""),"")</f>
        <v/>
      </c>
      <c r="K713" s="4" t="str">
        <f aca="false">IFERROR(IF($A713&gt;=VLOOKUP($B713,Ref_Acuerdos!$A:$E,3,FALSE()),VLOOKUP($B713,Ref_Acuerdos!$A:$E,5,FALSE()),"Sin FTA/PTA vigente ese año - arancel NMF"),"Sin FTA/PTA identificado - arancel NMF")</f>
        <v>Sin FTA/PTA identificado - arancel NMF</v>
      </c>
    </row>
    <row r="714" customFormat="false" ht="15" hidden="false" customHeight="false" outlineLevel="0" collapsed="false">
      <c r="A714" s="2" t="n">
        <v>2019</v>
      </c>
      <c r="B714" s="2" t="s">
        <v>83</v>
      </c>
      <c r="C714" s="4" t="str">
        <f aca="false">IFERROR(VLOOKUP($B714,Ref_Continente!$A:$B,2,FALSE()),"Sin clasificar")</f>
        <v>Europe</v>
      </c>
      <c r="D714" s="5" t="n">
        <v>150</v>
      </c>
      <c r="E714" s="6" t="n">
        <v>30</v>
      </c>
      <c r="F714" s="6" t="n">
        <v>9980</v>
      </c>
      <c r="G714" s="5" t="n">
        <v>408742840909.09</v>
      </c>
      <c r="H714" s="4" t="n">
        <f aca="false">IFERROR(IF(AND(VLOOKUP($B714,Ref_Acuerdos!$A:$E,2,FALSE())="FTA",$A714&gt;=VLOOKUP($B714,Ref_Acuerdos!$A:$E,3,FALSE())),1,0),0)</f>
        <v>0</v>
      </c>
      <c r="I714" s="4" t="n">
        <f aca="false">IFERROR(IF(AND(VLOOKUP($B714,Ref_Acuerdos!$A:$E,2,FALSE())="PTA",$A714&gt;=VLOOKUP($B714,Ref_Acuerdos!$A:$E,3,FALSE())),1,0),0)</f>
        <v>0</v>
      </c>
      <c r="J714" s="7" t="str">
        <f aca="false">IFERROR(IF($A714&gt;=VLOOKUP($B714,Ref_Acuerdos!$A:$E,3,FALSE()),VLOOKUP($B714,Ref_Acuerdos!$A:$E,4,FALSE()),""),"")</f>
        <v/>
      </c>
      <c r="K714" s="4" t="str">
        <f aca="false">IFERROR(IF($A714&gt;=VLOOKUP($B714,Ref_Acuerdos!$A:$E,3,FALSE()),VLOOKUP($B714,Ref_Acuerdos!$A:$E,5,FALSE()),"Sin FTA/PTA vigente ese año - arancel NMF"),"Sin FTA/PTA identificado - arancel NMF")</f>
        <v>Sin FTA/PTA vigente ese año - arancel NMF</v>
      </c>
    </row>
    <row r="715" customFormat="false" ht="15" hidden="false" customHeight="false" outlineLevel="0" collapsed="false">
      <c r="A715" s="2" t="n">
        <v>2019</v>
      </c>
      <c r="B715" s="2" t="s">
        <v>56</v>
      </c>
      <c r="C715" s="4" t="str">
        <f aca="false">IFERROR(VLOOKUP($B715,Ref_Continente!$A:$B,2,FALSE()),"Sin clasificar")</f>
        <v>Asia</v>
      </c>
      <c r="D715" s="5" t="n">
        <v>81</v>
      </c>
      <c r="E715" s="6" t="n">
        <v>14</v>
      </c>
      <c r="F715" s="6" t="n">
        <v>12800</v>
      </c>
      <c r="G715" s="5" t="n">
        <v>233636097800.34</v>
      </c>
      <c r="H715" s="4" t="n">
        <f aca="false">IFERROR(IF(AND(VLOOKUP($B715,Ref_Acuerdos!$A:$E,2,FALSE())="FTA",$A715&gt;=VLOOKUP($B715,Ref_Acuerdos!$A:$E,3,FALSE())),1,0),0)</f>
        <v>0</v>
      </c>
      <c r="I715" s="4" t="n">
        <f aca="false">IFERROR(IF(AND(VLOOKUP($B715,Ref_Acuerdos!$A:$E,2,FALSE())="PTA",$A715&gt;=VLOOKUP($B715,Ref_Acuerdos!$A:$E,3,FALSE())),1,0),0)</f>
        <v>0</v>
      </c>
      <c r="J715" s="7" t="str">
        <f aca="false">IFERROR(IF($A715&gt;=VLOOKUP($B715,Ref_Acuerdos!$A:$E,3,FALSE()),VLOOKUP($B715,Ref_Acuerdos!$A:$E,4,FALSE()),""),"")</f>
        <v/>
      </c>
      <c r="K715" s="4" t="str">
        <f aca="false">IFERROR(IF($A715&gt;=VLOOKUP($B715,Ref_Acuerdos!$A:$E,3,FALSE()),VLOOKUP($B715,Ref_Acuerdos!$A:$E,5,FALSE()),"Sin FTA/PTA vigente ese año - arancel NMF"),"Sin FTA/PTA identificado - arancel NMF")</f>
        <v>Sin FTA/PTA identificado - arancel NMF</v>
      </c>
    </row>
    <row r="716" customFormat="false" ht="15" hidden="false" customHeight="false" outlineLevel="0" collapsed="false">
      <c r="A716" s="2" t="n">
        <v>2019</v>
      </c>
      <c r="B716" s="2" t="s">
        <v>76</v>
      </c>
      <c r="C716" s="4" t="str">
        <f aca="false">IFERROR(VLOOKUP($B716,Ref_Continente!$A:$B,2,FALSE()),"Sin clasificar")</f>
        <v>Oceania</v>
      </c>
      <c r="D716" s="5" t="n">
        <v>81</v>
      </c>
      <c r="E716" s="6" t="n">
        <v>22</v>
      </c>
      <c r="F716" s="6" t="n">
        <v>14000</v>
      </c>
      <c r="G716" s="5"/>
      <c r="H716" s="4" t="n">
        <f aca="false">IFERROR(IF(AND(VLOOKUP($B716,Ref_Acuerdos!$A:$E,2,FALSE())="FTA",$A716&gt;=VLOOKUP($B716,Ref_Acuerdos!$A:$E,3,FALSE())),1,0),0)</f>
        <v>0</v>
      </c>
      <c r="I716" s="4" t="n">
        <f aca="false">IFERROR(IF(AND(VLOOKUP($B716,Ref_Acuerdos!$A:$E,2,FALSE())="PTA",$A716&gt;=VLOOKUP($B716,Ref_Acuerdos!$A:$E,3,FALSE())),1,0),0)</f>
        <v>0</v>
      </c>
      <c r="J716" s="7" t="str">
        <f aca="false">IFERROR(IF($A716&gt;=VLOOKUP($B716,Ref_Acuerdos!$A:$E,3,FALSE()),VLOOKUP($B716,Ref_Acuerdos!$A:$E,4,FALSE()),""),"")</f>
        <v/>
      </c>
      <c r="K716" s="4" t="str">
        <f aca="false">IFERROR(IF($A716&gt;=VLOOKUP($B716,Ref_Acuerdos!$A:$E,3,FALSE()),VLOOKUP($B716,Ref_Acuerdos!$A:$E,5,FALSE()),"Sin FTA/PTA vigente ese año - arancel NMF"),"Sin FTA/PTA identificado - arancel NMF")</f>
        <v>Sin FTA/PTA identificado - arancel NMF</v>
      </c>
    </row>
    <row r="717" customFormat="false" ht="15" hidden="false" customHeight="false" outlineLevel="0" collapsed="false">
      <c r="A717" s="2" t="n">
        <v>2020</v>
      </c>
      <c r="B717" s="2" t="s">
        <v>61</v>
      </c>
      <c r="C717" s="4" t="str">
        <f aca="false">IFERROR(VLOOKUP($B717,Ref_Continente!$A:$B,2,FALSE()),"Sin clasificar")</f>
        <v>Asia</v>
      </c>
      <c r="D717" s="5" t="n">
        <v>5652507</v>
      </c>
      <c r="E717" s="6" t="n">
        <v>902356.1</v>
      </c>
      <c r="F717" s="6" t="n">
        <v>14500</v>
      </c>
      <c r="G717" s="5" t="n">
        <v>5054068005376.28</v>
      </c>
      <c r="H717" s="4" t="n">
        <f aca="false">IFERROR(IF(AND(VLOOKUP($B717,Ref_Acuerdos!$A:$E,2,FALSE())="FTA",$A717&gt;=VLOOKUP($B717,Ref_Acuerdos!$A:$E,3,FALSE())),1,0),0)</f>
        <v>0</v>
      </c>
      <c r="I717" s="4" t="n">
        <f aca="false">IFERROR(IF(AND(VLOOKUP($B717,Ref_Acuerdos!$A:$E,2,FALSE())="PTA",$A717&gt;=VLOOKUP($B717,Ref_Acuerdos!$A:$E,3,FALSE())),1,0),0)</f>
        <v>0</v>
      </c>
      <c r="J717" s="7" t="str">
        <f aca="false">IFERROR(IF($A717&gt;=VLOOKUP($B717,Ref_Acuerdos!$A:$E,3,FALSE()),VLOOKUP($B717,Ref_Acuerdos!$A:$E,4,FALSE()),""),"")</f>
        <v/>
      </c>
      <c r="K717" s="4" t="str">
        <f aca="false">IFERROR(IF($A717&gt;=VLOOKUP($B717,Ref_Acuerdos!$A:$E,3,FALSE()),VLOOKUP($B717,Ref_Acuerdos!$A:$E,5,FALSE()),"Sin FTA/PTA vigente ese año - arancel NMF"),"Sin FTA/PTA identificado - arancel NMF")</f>
        <v>Sin FTA/PTA identificado - arancel NMF</v>
      </c>
    </row>
    <row r="718" customFormat="false" ht="15" hidden="false" customHeight="false" outlineLevel="0" collapsed="false">
      <c r="A718" s="2" t="n">
        <v>2020</v>
      </c>
      <c r="B718" s="2" t="s">
        <v>96</v>
      </c>
      <c r="C718" s="4" t="str">
        <f aca="false">IFERROR(VLOOKUP($B718,Ref_Continente!$A:$B,2,FALSE()),"Sin clasificar")</f>
        <v>Europe</v>
      </c>
      <c r="D718" s="5" t="n">
        <v>4965472</v>
      </c>
      <c r="E718" s="6" t="n">
        <v>1312166.5</v>
      </c>
      <c r="F718" s="6" t="n">
        <v>12000</v>
      </c>
      <c r="G718" s="5" t="n">
        <v>1493075894362.14</v>
      </c>
      <c r="H718" s="4" t="n">
        <f aca="false">IFERROR(IF(AND(VLOOKUP($B718,Ref_Acuerdos!$A:$E,2,FALSE())="FTA",$A718&gt;=VLOOKUP($B718,Ref_Acuerdos!$A:$E,3,FALSE())),1,0),0)</f>
        <v>0</v>
      </c>
      <c r="I718" s="4" t="n">
        <f aca="false">IFERROR(IF(AND(VLOOKUP($B718,Ref_Acuerdos!$A:$E,2,FALSE())="PTA",$A718&gt;=VLOOKUP($B718,Ref_Acuerdos!$A:$E,3,FALSE())),1,0),0)</f>
        <v>0</v>
      </c>
      <c r="J718" s="7" t="str">
        <f aca="false">IFERROR(IF($A718&gt;=VLOOKUP($B718,Ref_Acuerdos!$A:$E,3,FALSE()),VLOOKUP($B718,Ref_Acuerdos!$A:$E,4,FALSE()),""),"")</f>
        <v/>
      </c>
      <c r="K718" s="4" t="str">
        <f aca="false">IFERROR(IF($A718&gt;=VLOOKUP($B718,Ref_Acuerdos!$A:$E,3,FALSE()),VLOOKUP($B718,Ref_Acuerdos!$A:$E,5,FALSE()),"Sin FTA/PTA vigente ese año - arancel NMF"),"Sin FTA/PTA identificado - arancel NMF")</f>
        <v>Sin FTA/PTA identificado - arancel NMF</v>
      </c>
    </row>
    <row r="719" customFormat="false" ht="15" hidden="false" customHeight="false" outlineLevel="0" collapsed="false">
      <c r="A719" s="2" t="n">
        <v>2020</v>
      </c>
      <c r="B719" s="2" t="s">
        <v>114</v>
      </c>
      <c r="C719" s="4" t="str">
        <f aca="false">IFERROR(VLOOKUP($B719,Ref_Continente!$A:$B,2,FALSE()),"Sin clasificar")</f>
        <v>North America</v>
      </c>
      <c r="D719" s="5" t="n">
        <v>1801859</v>
      </c>
      <c r="E719" s="6" t="n">
        <v>355233.7</v>
      </c>
      <c r="F719" s="6" t="n">
        <v>4550</v>
      </c>
      <c r="G719" s="5" t="n">
        <v>21060473613000</v>
      </c>
      <c r="H719" s="4" t="n">
        <f aca="false">IFERROR(IF(AND(VLOOKUP($B719,Ref_Acuerdos!$A:$E,2,FALSE())="FTA",$A719&gt;=VLOOKUP($B719,Ref_Acuerdos!$A:$E,3,FALSE())),1,0),0)</f>
        <v>0</v>
      </c>
      <c r="I719" s="4" t="n">
        <f aca="false">IFERROR(IF(AND(VLOOKUP($B719,Ref_Acuerdos!$A:$E,2,FALSE())="PTA",$A719&gt;=VLOOKUP($B719,Ref_Acuerdos!$A:$E,3,FALSE())),1,0),0)</f>
        <v>0</v>
      </c>
      <c r="J719" s="7" t="str">
        <f aca="false">IFERROR(IF($A719&gt;=VLOOKUP($B719,Ref_Acuerdos!$A:$E,3,FALSE()),VLOOKUP($B719,Ref_Acuerdos!$A:$E,4,FALSE()),""),"")</f>
        <v/>
      </c>
      <c r="K719" s="4" t="str">
        <f aca="false">IFERROR(IF($A719&gt;=VLOOKUP($B719,Ref_Acuerdos!$A:$E,3,FALSE()),VLOOKUP($B719,Ref_Acuerdos!$A:$E,5,FALSE()),"Sin FTA/PTA vigente ese año - arancel NMF"),"Sin FTA/PTA identificado - arancel NMF")</f>
        <v>Sin FTA/PTA identificado - arancel NMF</v>
      </c>
    </row>
    <row r="720" customFormat="false" ht="15" hidden="false" customHeight="false" outlineLevel="0" collapsed="false">
      <c r="A720" s="2" t="n">
        <v>2020</v>
      </c>
      <c r="B720" s="2" t="s">
        <v>77</v>
      </c>
      <c r="C720" s="4" t="str">
        <f aca="false">IFERROR(VLOOKUP($B720,Ref_Continente!$A:$B,2,FALSE()),"Sin clasificar")</f>
        <v>Europe</v>
      </c>
      <c r="D720" s="5" t="n">
        <v>1518806</v>
      </c>
      <c r="E720" s="6" t="n">
        <v>345061.8</v>
      </c>
      <c r="F720" s="6" t="n">
        <v>9300</v>
      </c>
      <c r="G720" s="5" t="n">
        <v>932560861701.17</v>
      </c>
      <c r="H720" s="4" t="n">
        <f aca="false">IFERROR(IF(AND(VLOOKUP($B720,Ref_Acuerdos!$A:$E,2,FALSE())="FTA",$A720&gt;=VLOOKUP($B720,Ref_Acuerdos!$A:$E,3,FALSE())),1,0),0)</f>
        <v>1</v>
      </c>
      <c r="I720" s="4" t="n">
        <f aca="false">IFERROR(IF(AND(VLOOKUP($B720,Ref_Acuerdos!$A:$E,2,FALSE())="PTA",$A720&gt;=VLOOKUP($B720,Ref_Acuerdos!$A:$E,3,FALSE())),1,0),0)</f>
        <v>0</v>
      </c>
      <c r="J720" s="7" t="n">
        <f aca="false">IFERROR(IF($A720&gt;=VLOOKUP($B720,Ref_Acuerdos!$A:$E,3,FALSE()),VLOOKUP($B720,Ref_Acuerdos!$A:$E,4,FALSE()),""),"")</f>
        <v>0</v>
      </c>
      <c r="K720" s="4" t="str">
        <f aca="false">IFERROR(IF($A720&gt;=VLOOKUP($B720,Ref_Acuerdos!$A:$E,3,FALSE()),VLOOKUP($B720,Ref_Acuerdos!$A:$E,5,FALSE()),"Sin FTA/PTA vigente ese año - arancel NMF"),"Sin FTA/PTA identificado - arancel NMF")</f>
        <v>UE-Ecuador Acuerdo Multipartes, vigente desde ene-2017</v>
      </c>
    </row>
    <row r="721" customFormat="false" ht="15" hidden="false" customHeight="false" outlineLevel="0" collapsed="false">
      <c r="A721" s="2" t="n">
        <v>2020</v>
      </c>
      <c r="B721" s="2" t="s">
        <v>115</v>
      </c>
      <c r="C721" s="4" t="str">
        <f aca="false">IFERROR(VLOOKUP($B721,Ref_Continente!$A:$B,2,FALSE()),"Sin clasificar")</f>
        <v>Europe</v>
      </c>
      <c r="D721" s="5" t="n">
        <v>744553</v>
      </c>
      <c r="E721" s="6" t="n">
        <v>212535</v>
      </c>
      <c r="F721" s="6" t="n">
        <v>11</v>
      </c>
      <c r="G721" s="5" t="n">
        <v>156617722013.34</v>
      </c>
      <c r="H721" s="4" t="n">
        <f aca="false">IFERROR(IF(AND(VLOOKUP($B721,Ref_Acuerdos!$A:$E,2,FALSE())="FTA",$A721&gt;=VLOOKUP($B721,Ref_Acuerdos!$A:$E,3,FALSE())),1,0),0)</f>
        <v>0</v>
      </c>
      <c r="I721" s="4" t="n">
        <f aca="false">IFERROR(IF(AND(VLOOKUP($B721,Ref_Acuerdos!$A:$E,2,FALSE())="PTA",$A721&gt;=VLOOKUP($B721,Ref_Acuerdos!$A:$E,3,FALSE())),1,0),0)</f>
        <v>0</v>
      </c>
      <c r="J721" s="7" t="str">
        <f aca="false">IFERROR(IF($A721&gt;=VLOOKUP($B721,Ref_Acuerdos!$A:$E,3,FALSE()),VLOOKUP($B721,Ref_Acuerdos!$A:$E,4,FALSE()),""),"")</f>
        <v/>
      </c>
      <c r="K721" s="4" t="str">
        <f aca="false">IFERROR(IF($A721&gt;=VLOOKUP($B721,Ref_Acuerdos!$A:$E,3,FALSE()),VLOOKUP($B721,Ref_Acuerdos!$A:$E,5,FALSE()),"Sin FTA/PTA vigente ese año - arancel NMF"),"Sin FTA/PTA identificado - arancel NMF")</f>
        <v>Sin FTA/PTA identificado - arancel NMF</v>
      </c>
    </row>
    <row r="722" customFormat="false" ht="15" hidden="false" customHeight="false" outlineLevel="0" collapsed="false">
      <c r="A722" s="2" t="n">
        <v>2020</v>
      </c>
      <c r="B722" s="2" t="s">
        <v>12</v>
      </c>
      <c r="C722" s="4" t="str">
        <f aca="false">IFERROR(VLOOKUP($B722,Ref_Continente!$A:$B,2,FALSE()),"Sin clasificar")</f>
        <v>Oceania</v>
      </c>
      <c r="D722" s="5" t="n">
        <v>267847</v>
      </c>
      <c r="E722" s="6" t="n">
        <v>44742.4</v>
      </c>
      <c r="F722" s="6" t="n">
        <v>14000</v>
      </c>
      <c r="G722" s="5" t="n">
        <v>1333336461648.09</v>
      </c>
      <c r="H722" s="4" t="n">
        <f aca="false">IFERROR(IF(AND(VLOOKUP($B722,Ref_Acuerdos!$A:$E,2,FALSE())="FTA",$A722&gt;=VLOOKUP($B722,Ref_Acuerdos!$A:$E,3,FALSE())),1,0),0)</f>
        <v>0</v>
      </c>
      <c r="I722" s="4" t="n">
        <f aca="false">IFERROR(IF(AND(VLOOKUP($B722,Ref_Acuerdos!$A:$E,2,FALSE())="PTA",$A722&gt;=VLOOKUP($B722,Ref_Acuerdos!$A:$E,3,FALSE())),1,0),0)</f>
        <v>0</v>
      </c>
      <c r="J722" s="7" t="str">
        <f aca="false">IFERROR(IF($A722&gt;=VLOOKUP($B722,Ref_Acuerdos!$A:$E,3,FALSE()),VLOOKUP($B722,Ref_Acuerdos!$A:$E,4,FALSE()),""),"")</f>
        <v/>
      </c>
      <c r="K722" s="4" t="str">
        <f aca="false">IFERROR(IF($A722&gt;=VLOOKUP($B722,Ref_Acuerdos!$A:$E,3,FALSE()),VLOOKUP($B722,Ref_Acuerdos!$A:$E,5,FALSE()),"Sin FTA/PTA vigente ese año - arancel NMF"),"Sin FTA/PTA identificado - arancel NMF")</f>
        <v>Sin FTA/PTA identificado - arancel NMF</v>
      </c>
    </row>
    <row r="723" customFormat="false" ht="15" hidden="false" customHeight="false" outlineLevel="0" collapsed="false">
      <c r="A723" s="2" t="n">
        <v>2020</v>
      </c>
      <c r="B723" s="2" t="s">
        <v>19</v>
      </c>
      <c r="C723" s="4" t="str">
        <f aca="false">IFERROR(VLOOKUP($B723,Ref_Continente!$A:$B,2,FALSE()),"Sin clasificar")</f>
        <v>Europe</v>
      </c>
      <c r="D723" s="5" t="n">
        <v>267192</v>
      </c>
      <c r="E723" s="6" t="n">
        <v>68643</v>
      </c>
      <c r="F723" s="6" t="n">
        <v>10600</v>
      </c>
      <c r="G723" s="5" t="n">
        <v>61371673344.74</v>
      </c>
      <c r="H723" s="4" t="n">
        <f aca="false">IFERROR(IF(AND(VLOOKUP($B723,Ref_Acuerdos!$A:$E,2,FALSE())="FTA",$A723&gt;=VLOOKUP($B723,Ref_Acuerdos!$A:$E,3,FALSE())),1,0),0)</f>
        <v>0</v>
      </c>
      <c r="I723" s="4" t="n">
        <f aca="false">IFERROR(IF(AND(VLOOKUP($B723,Ref_Acuerdos!$A:$E,2,FALSE())="PTA",$A723&gt;=VLOOKUP($B723,Ref_Acuerdos!$A:$E,3,FALSE())),1,0),0)</f>
        <v>0</v>
      </c>
      <c r="J723" s="7" t="str">
        <f aca="false">IFERROR(IF($A723&gt;=VLOOKUP($B723,Ref_Acuerdos!$A:$E,3,FALSE()),VLOOKUP($B723,Ref_Acuerdos!$A:$E,4,FALSE()),""),"")</f>
        <v/>
      </c>
      <c r="K723" s="4" t="str">
        <f aca="false">IFERROR(IF($A723&gt;=VLOOKUP($B723,Ref_Acuerdos!$A:$E,3,FALSE()),VLOOKUP($B723,Ref_Acuerdos!$A:$E,5,FALSE()),"Sin FTA/PTA vigente ese año - arancel NMF"),"Sin FTA/PTA identificado - arancel NMF")</f>
        <v>Sin FTA/PTA identificado - arancel NMF</v>
      </c>
    </row>
    <row r="724" customFormat="false" ht="15" hidden="false" customHeight="false" outlineLevel="0" collapsed="false">
      <c r="A724" s="2" t="n">
        <v>2020</v>
      </c>
      <c r="B724" s="2" t="s">
        <v>63</v>
      </c>
      <c r="C724" s="4" t="str">
        <f aca="false">IFERROR(VLOOKUP($B724,Ref_Continente!$A:$B,2,FALSE()),"Sin clasificar")</f>
        <v>Asia</v>
      </c>
      <c r="D724" s="5" t="n">
        <v>187320</v>
      </c>
      <c r="E724" s="6" t="n">
        <v>60647.9</v>
      </c>
      <c r="F724" s="6" t="n">
        <v>13600</v>
      </c>
      <c r="G724" s="5" t="n">
        <v>171082365861.42</v>
      </c>
      <c r="H724" s="4" t="n">
        <f aca="false">IFERROR(IF(AND(VLOOKUP($B724,Ref_Acuerdos!$A:$E,2,FALSE())="FTA",$A724&gt;=VLOOKUP($B724,Ref_Acuerdos!$A:$E,3,FALSE())),1,0),0)</f>
        <v>0</v>
      </c>
      <c r="I724" s="4" t="n">
        <f aca="false">IFERROR(IF(AND(VLOOKUP($B724,Ref_Acuerdos!$A:$E,2,FALSE())="PTA",$A724&gt;=VLOOKUP($B724,Ref_Acuerdos!$A:$E,3,FALSE())),1,0),0)</f>
        <v>0</v>
      </c>
      <c r="J724" s="7" t="str">
        <f aca="false">IFERROR(IF($A724&gt;=VLOOKUP($B724,Ref_Acuerdos!$A:$E,3,FALSE()),VLOOKUP($B724,Ref_Acuerdos!$A:$E,4,FALSE()),""),"")</f>
        <v/>
      </c>
      <c r="K724" s="4" t="str">
        <f aca="false">IFERROR(IF($A724&gt;=VLOOKUP($B724,Ref_Acuerdos!$A:$E,3,FALSE()),VLOOKUP($B724,Ref_Acuerdos!$A:$E,5,FALSE()),"Sin FTA/PTA vigente ese año - arancel NMF"),"Sin FTA/PTA identificado - arancel NMF")</f>
        <v>Sin FTA/PTA identificado - arancel NMF</v>
      </c>
    </row>
    <row r="725" customFormat="false" ht="15" hidden="false" customHeight="false" outlineLevel="0" collapsed="false">
      <c r="A725" s="2" t="n">
        <v>2020</v>
      </c>
      <c r="B725" s="2" t="s">
        <v>105</v>
      </c>
      <c r="C725" s="4" t="str">
        <f aca="false">IFERROR(VLOOKUP($B725,Ref_Continente!$A:$B,2,FALSE()),"Sin clasificar")</f>
        <v>Europe</v>
      </c>
      <c r="D725" s="5" t="n">
        <v>148314</v>
      </c>
      <c r="E725" s="6" t="n">
        <v>32280.9</v>
      </c>
      <c r="F725" s="6" t="n">
        <v>8700</v>
      </c>
      <c r="G725" s="5" t="n">
        <v>1289783836971.21</v>
      </c>
      <c r="H725" s="4" t="n">
        <f aca="false">IFERROR(IF(AND(VLOOKUP($B725,Ref_Acuerdos!$A:$E,2,FALSE())="FTA",$A725&gt;=VLOOKUP($B725,Ref_Acuerdos!$A:$E,3,FALSE())),1,0),0)</f>
        <v>1</v>
      </c>
      <c r="I725" s="4" t="n">
        <f aca="false">IFERROR(IF(AND(VLOOKUP($B725,Ref_Acuerdos!$A:$E,2,FALSE())="PTA",$A725&gt;=VLOOKUP($B725,Ref_Acuerdos!$A:$E,3,FALSE())),1,0),0)</f>
        <v>0</v>
      </c>
      <c r="J725" s="7" t="n">
        <f aca="false">IFERROR(IF($A725&gt;=VLOOKUP($B725,Ref_Acuerdos!$A:$E,3,FALSE()),VLOOKUP($B725,Ref_Acuerdos!$A:$E,4,FALSE()),""),"")</f>
        <v>0</v>
      </c>
      <c r="K725" s="4" t="str">
        <f aca="false">IFERROR(IF($A725&gt;=VLOOKUP($B725,Ref_Acuerdos!$A:$E,3,FALSE()),VLOOKUP($B725,Ref_Acuerdos!$A:$E,5,FALSE()),"Sin FTA/PTA vigente ese año - arancel NMF"),"Sin FTA/PTA identificado - arancel NMF")</f>
        <v>UE-Ecuador Acuerdo Multipartes, vigente desde ene-2017</v>
      </c>
    </row>
    <row r="726" customFormat="false" ht="15" hidden="false" customHeight="false" outlineLevel="0" collapsed="false">
      <c r="A726" s="2" t="n">
        <v>2020</v>
      </c>
      <c r="B726" s="2" t="s">
        <v>118</v>
      </c>
      <c r="C726" s="4" t="str">
        <f aca="false">IFERROR(VLOOKUP($B726,Ref_Continente!$A:$B,2,FALSE()),"Sin clasificar")</f>
        <v>South America</v>
      </c>
      <c r="D726" s="5" t="n">
        <v>136368</v>
      </c>
      <c r="E726" s="6" t="n">
        <v>48922.1</v>
      </c>
      <c r="F726" s="6" t="n">
        <v>4650</v>
      </c>
      <c r="G726" s="5" t="n">
        <v>53559359261.83</v>
      </c>
      <c r="H726" s="4" t="n">
        <f aca="false">IFERROR(IF(AND(VLOOKUP($B726,Ref_Acuerdos!$A:$E,2,FALSE())="FTA",$A726&gt;=VLOOKUP($B726,Ref_Acuerdos!$A:$E,3,FALSE())),1,0),0)</f>
        <v>0</v>
      </c>
      <c r="I726" s="4" t="n">
        <f aca="false">IFERROR(IF(AND(VLOOKUP($B726,Ref_Acuerdos!$A:$E,2,FALSE())="PTA",$A726&gt;=VLOOKUP($B726,Ref_Acuerdos!$A:$E,3,FALSE())),1,0),0)</f>
        <v>1</v>
      </c>
      <c r="J726" s="7" t="n">
        <f aca="false">IFERROR(IF($A726&gt;=VLOOKUP($B726,Ref_Acuerdos!$A:$E,3,FALSE()),VLOOKUP($B726,Ref_Acuerdos!$A:$E,4,FALSE()),""),"")</f>
        <v>5</v>
      </c>
      <c r="K726" s="4" t="str">
        <f aca="false">IFERROR(IF($A726&gt;=VLOOKUP($B726,Ref_Acuerdos!$A:$E,3,FALSE()),VLOOKUP($B726,Ref_Acuerdos!$A:$E,5,FALSE()),"Sin FTA/PTA vigente ese año - arancel NMF"),"Sin FTA/PTA identificado - arancel NMF")</f>
        <v>Ecuador-Mercosur ACE 59 - preferencias parciales (tarifa referencial)</v>
      </c>
    </row>
    <row r="727" customFormat="false" ht="15" hidden="false" customHeight="false" outlineLevel="0" collapsed="false">
      <c r="A727" s="2" t="n">
        <v>2020</v>
      </c>
      <c r="B727" s="2" t="s">
        <v>45</v>
      </c>
      <c r="C727" s="4" t="str">
        <f aca="false">IFERROR(VLOOKUP($B727,Ref_Continente!$A:$B,2,FALSE()),"Sin clasificar")</f>
        <v>Europe</v>
      </c>
      <c r="D727" s="5" t="n">
        <v>108269</v>
      </c>
      <c r="E727" s="6" t="n">
        <v>52548.6</v>
      </c>
      <c r="F727" s="6" t="n">
        <v>9650</v>
      </c>
      <c r="G727" s="5" t="n">
        <v>3941398957073.94</v>
      </c>
      <c r="H727" s="4" t="n">
        <f aca="false">IFERROR(IF(AND(VLOOKUP($B727,Ref_Acuerdos!$A:$E,2,FALSE())="FTA",$A727&gt;=VLOOKUP($B727,Ref_Acuerdos!$A:$E,3,FALSE())),1,0),0)</f>
        <v>1</v>
      </c>
      <c r="I727" s="4" t="n">
        <f aca="false">IFERROR(IF(AND(VLOOKUP($B727,Ref_Acuerdos!$A:$E,2,FALSE())="PTA",$A727&gt;=VLOOKUP($B727,Ref_Acuerdos!$A:$E,3,FALSE())),1,0),0)</f>
        <v>0</v>
      </c>
      <c r="J727" s="7" t="n">
        <f aca="false">IFERROR(IF($A727&gt;=VLOOKUP($B727,Ref_Acuerdos!$A:$E,3,FALSE()),VLOOKUP($B727,Ref_Acuerdos!$A:$E,4,FALSE()),""),"")</f>
        <v>0</v>
      </c>
      <c r="K727" s="4" t="str">
        <f aca="false">IFERROR(IF($A727&gt;=VLOOKUP($B727,Ref_Acuerdos!$A:$E,3,FALSE()),VLOOKUP($B727,Ref_Acuerdos!$A:$E,5,FALSE()),"Sin FTA/PTA vigente ese año - arancel NMF"),"Sin FTA/PTA identificado - arancel NMF")</f>
        <v>UE-Ecuador Acuerdo Multipartes, vigente desde ene-2017</v>
      </c>
    </row>
    <row r="728" customFormat="false" ht="15" hidden="false" customHeight="false" outlineLevel="0" collapsed="false">
      <c r="A728" s="2" t="n">
        <v>2020</v>
      </c>
      <c r="B728" s="2" t="s">
        <v>37</v>
      </c>
      <c r="C728" s="4" t="str">
        <f aca="false">IFERROR(VLOOKUP($B728,Ref_Continente!$A:$B,2,FALSE()),"Sin clasificar")</f>
        <v>North America</v>
      </c>
      <c r="D728" s="5" t="n">
        <v>98495</v>
      </c>
      <c r="E728" s="6" t="n">
        <v>27227.4</v>
      </c>
      <c r="F728" s="6" t="n">
        <v>2200</v>
      </c>
      <c r="G728" s="5" t="n">
        <v>78546672406.83</v>
      </c>
      <c r="H728" s="4" t="n">
        <f aca="false">IFERROR(IF(AND(VLOOKUP($B728,Ref_Acuerdos!$A:$E,2,FALSE())="FTA",$A728&gt;=VLOOKUP($B728,Ref_Acuerdos!$A:$E,3,FALSE())),1,0),0)</f>
        <v>0</v>
      </c>
      <c r="I728" s="4" t="n">
        <f aca="false">IFERROR(IF(AND(VLOOKUP($B728,Ref_Acuerdos!$A:$E,2,FALSE())="PTA",$A728&gt;=VLOOKUP($B728,Ref_Acuerdos!$A:$E,3,FALSE())),1,0),0)</f>
        <v>0</v>
      </c>
      <c r="J728" s="7" t="str">
        <f aca="false">IFERROR(IF($A728&gt;=VLOOKUP($B728,Ref_Acuerdos!$A:$E,3,FALSE()),VLOOKUP($B728,Ref_Acuerdos!$A:$E,4,FALSE()),""),"")</f>
        <v/>
      </c>
      <c r="K728" s="4" t="str">
        <f aca="false">IFERROR(IF($A728&gt;=VLOOKUP($B728,Ref_Acuerdos!$A:$E,3,FALSE()),VLOOKUP($B728,Ref_Acuerdos!$A:$E,5,FALSE()),"Sin FTA/PTA vigente ese año - arancel NMF"),"Sin FTA/PTA identificado - arancel NMF")</f>
        <v>Sin FTA/PTA identificado - arancel NMF</v>
      </c>
    </row>
    <row r="729" customFormat="false" ht="15" hidden="false" customHeight="false" outlineLevel="0" collapsed="false">
      <c r="A729" s="2" t="n">
        <v>2020</v>
      </c>
      <c r="B729" s="2" t="s">
        <v>68</v>
      </c>
      <c r="C729" s="4" t="str">
        <f aca="false">IFERROR(VLOOKUP($B729,Ref_Continente!$A:$B,2,FALSE()),"Sin clasificar")</f>
        <v>Europe</v>
      </c>
      <c r="D729" s="5" t="n">
        <v>93238</v>
      </c>
      <c r="E729" s="6" t="n">
        <v>19708.6</v>
      </c>
      <c r="F729" s="6" t="n">
        <v>10250</v>
      </c>
      <c r="G729" s="5" t="n">
        <v>57412038533.27</v>
      </c>
      <c r="H729" s="4" t="n">
        <f aca="false">IFERROR(IF(AND(VLOOKUP($B729,Ref_Acuerdos!$A:$E,2,FALSE())="FTA",$A729&gt;=VLOOKUP($B729,Ref_Acuerdos!$A:$E,3,FALSE())),1,0),0)</f>
        <v>1</v>
      </c>
      <c r="I729" s="4" t="n">
        <f aca="false">IFERROR(IF(AND(VLOOKUP($B729,Ref_Acuerdos!$A:$E,2,FALSE())="PTA",$A729&gt;=VLOOKUP($B729,Ref_Acuerdos!$A:$E,3,FALSE())),1,0),0)</f>
        <v>0</v>
      </c>
      <c r="J729" s="7" t="n">
        <f aca="false">IFERROR(IF($A729&gt;=VLOOKUP($B729,Ref_Acuerdos!$A:$E,3,FALSE()),VLOOKUP($B729,Ref_Acuerdos!$A:$E,4,FALSE()),""),"")</f>
        <v>0</v>
      </c>
      <c r="K729" s="4" t="str">
        <f aca="false">IFERROR(IF($A729&gt;=VLOOKUP($B729,Ref_Acuerdos!$A:$E,3,FALSE()),VLOOKUP($B729,Ref_Acuerdos!$A:$E,5,FALSE()),"Sin FTA/PTA vigente ese año - arancel NMF"),"Sin FTA/PTA identificado - arancel NMF")</f>
        <v>UE-Ecuador Acuerdo Multipartes, vigente desde ene-2017</v>
      </c>
    </row>
    <row r="730" customFormat="false" ht="15" hidden="false" customHeight="false" outlineLevel="0" collapsed="false">
      <c r="A730" s="2" t="n">
        <v>2020</v>
      </c>
      <c r="B730" s="2" t="s">
        <v>25</v>
      </c>
      <c r="C730" s="4" t="str">
        <f aca="false">IFERROR(VLOOKUP($B730,Ref_Continente!$A:$B,2,FALSE()),"Sin clasificar")</f>
        <v>North America</v>
      </c>
      <c r="D730" s="5" t="n">
        <v>67451</v>
      </c>
      <c r="E730" s="6" t="n">
        <v>27769.8</v>
      </c>
      <c r="F730" s="6" t="n">
        <v>5900</v>
      </c>
      <c r="G730" s="5" t="n">
        <v>1655684730000.19</v>
      </c>
      <c r="H730" s="4" t="n">
        <f aca="false">IFERROR(IF(AND(VLOOKUP($B730,Ref_Acuerdos!$A:$E,2,FALSE())="FTA",$A730&gt;=VLOOKUP($B730,Ref_Acuerdos!$A:$E,3,FALSE())),1,0),0)</f>
        <v>0</v>
      </c>
      <c r="I730" s="4" t="n">
        <f aca="false">IFERROR(IF(AND(VLOOKUP($B730,Ref_Acuerdos!$A:$E,2,FALSE())="PTA",$A730&gt;=VLOOKUP($B730,Ref_Acuerdos!$A:$E,3,FALSE())),1,0),0)</f>
        <v>0</v>
      </c>
      <c r="J730" s="7" t="str">
        <f aca="false">IFERROR(IF($A730&gt;=VLOOKUP($B730,Ref_Acuerdos!$A:$E,3,FALSE()),VLOOKUP($B730,Ref_Acuerdos!$A:$E,4,FALSE()),""),"")</f>
        <v/>
      </c>
      <c r="K730" s="4" t="str">
        <f aca="false">IFERROR(IF($A730&gt;=VLOOKUP($B730,Ref_Acuerdos!$A:$E,3,FALSE()),VLOOKUP($B730,Ref_Acuerdos!$A:$E,5,FALSE()),"Sin FTA/PTA vigente ese año - arancel NMF"),"Sin FTA/PTA identificado - arancel NMF")</f>
        <v>Sin FTA/PTA identificado - arancel NMF</v>
      </c>
    </row>
    <row r="731" customFormat="false" ht="15" hidden="false" customHeight="false" outlineLevel="0" collapsed="false">
      <c r="A731" s="2" t="n">
        <v>2020</v>
      </c>
      <c r="B731" s="2" t="s">
        <v>87</v>
      </c>
      <c r="C731" s="4" t="str">
        <f aca="false">IFERROR(VLOOKUP($B731,Ref_Continente!$A:$B,2,FALSE()),"Sin clasificar")</f>
        <v>South America</v>
      </c>
      <c r="D731" s="5" t="n">
        <v>54814</v>
      </c>
      <c r="E731" s="6" t="n">
        <v>15347.5</v>
      </c>
      <c r="F731" s="6" t="n">
        <v>3600</v>
      </c>
      <c r="G731" s="5" t="n">
        <v>35432178068.18</v>
      </c>
      <c r="H731" s="4" t="n">
        <f aca="false">IFERROR(IF(AND(VLOOKUP($B731,Ref_Acuerdos!$A:$E,2,FALSE())="FTA",$A731&gt;=VLOOKUP($B731,Ref_Acuerdos!$A:$E,3,FALSE())),1,0),0)</f>
        <v>0</v>
      </c>
      <c r="I731" s="4" t="n">
        <f aca="false">IFERROR(IF(AND(VLOOKUP($B731,Ref_Acuerdos!$A:$E,2,FALSE())="PTA",$A731&gt;=VLOOKUP($B731,Ref_Acuerdos!$A:$E,3,FALSE())),1,0),0)</f>
        <v>1</v>
      </c>
      <c r="J731" s="7" t="n">
        <f aca="false">IFERROR(IF($A731&gt;=VLOOKUP($B731,Ref_Acuerdos!$A:$E,3,FALSE()),VLOOKUP($B731,Ref_Acuerdos!$A:$E,4,FALSE()),""),"")</f>
        <v>5</v>
      </c>
      <c r="K731" s="4" t="str">
        <f aca="false">IFERROR(IF($A731&gt;=VLOOKUP($B731,Ref_Acuerdos!$A:$E,3,FALSE()),VLOOKUP($B731,Ref_Acuerdos!$A:$E,5,FALSE()),"Sin FTA/PTA vigente ese año - arancel NMF"),"Sin FTA/PTA identificado - arancel NMF")</f>
        <v>Ecuador-Mercosur ACE 59 - preferencias parciales (tarifa referencial)</v>
      </c>
    </row>
    <row r="732" customFormat="false" ht="15" hidden="false" customHeight="false" outlineLevel="0" collapsed="false">
      <c r="A732" s="2" t="n">
        <v>2020</v>
      </c>
      <c r="B732" s="2" t="s">
        <v>26</v>
      </c>
      <c r="C732" s="4" t="str">
        <f aca="false">IFERROR(VLOOKUP($B732,Ref_Continente!$A:$B,2,FALSE()),"Sin clasificar")</f>
        <v>South America</v>
      </c>
      <c r="D732" s="5" t="n">
        <v>54580</v>
      </c>
      <c r="E732" s="6" t="n">
        <v>10690.8</v>
      </c>
      <c r="F732" s="6" t="n">
        <v>2600</v>
      </c>
      <c r="G732" s="5" t="n">
        <v>254042159309.31</v>
      </c>
      <c r="H732" s="4" t="n">
        <f aca="false">IFERROR(IF(AND(VLOOKUP($B732,Ref_Acuerdos!$A:$E,2,FALSE())="FTA",$A732&gt;=VLOOKUP($B732,Ref_Acuerdos!$A:$E,3,FALSE())),1,0),0)</f>
        <v>1</v>
      </c>
      <c r="I732" s="4" t="n">
        <f aca="false">IFERROR(IF(AND(VLOOKUP($B732,Ref_Acuerdos!$A:$E,2,FALSE())="PTA",$A732&gt;=VLOOKUP($B732,Ref_Acuerdos!$A:$E,3,FALSE())),1,0),0)</f>
        <v>0</v>
      </c>
      <c r="J732" s="7" t="n">
        <f aca="false">IFERROR(IF($A732&gt;=VLOOKUP($B732,Ref_Acuerdos!$A:$E,3,FALSE()),VLOOKUP($B732,Ref_Acuerdos!$A:$E,4,FALSE()),""),"")</f>
        <v>0</v>
      </c>
      <c r="K732" s="4" t="str">
        <f aca="false">IFERROR(IF($A732&gt;=VLOOKUP($B732,Ref_Acuerdos!$A:$E,3,FALSE()),VLOOKUP($B732,Ref_Acuerdos!$A:$E,5,FALSE()),"Sin FTA/PTA vigente ese año - arancel NMF"),"Sin FTA/PTA identificado - arancel NMF")</f>
        <v>Ecuador-Chile ACE 65, vigente desde 2010</v>
      </c>
    </row>
    <row r="733" customFormat="false" ht="15" hidden="false" customHeight="false" outlineLevel="0" collapsed="false">
      <c r="A733" s="2" t="n">
        <v>2020</v>
      </c>
      <c r="B733" s="2" t="s">
        <v>80</v>
      </c>
      <c r="C733" s="4" t="str">
        <f aca="false">IFERROR(VLOOKUP($B733,Ref_Continente!$A:$B,2,FALSE()),"Sin clasificar")</f>
        <v>North America</v>
      </c>
      <c r="D733" s="5" t="n">
        <v>41673</v>
      </c>
      <c r="E733" s="6" t="n">
        <v>10181.1</v>
      </c>
      <c r="F733" s="6" t="n">
        <v>1730</v>
      </c>
      <c r="G733" s="5" t="n">
        <v>12726422432.49</v>
      </c>
      <c r="H733" s="4" t="n">
        <f aca="false">IFERROR(IF(AND(VLOOKUP($B733,Ref_Acuerdos!$A:$E,2,FALSE())="FTA",$A733&gt;=VLOOKUP($B733,Ref_Acuerdos!$A:$E,3,FALSE())),1,0),0)</f>
        <v>0</v>
      </c>
      <c r="I733" s="4" t="n">
        <f aca="false">IFERROR(IF(AND(VLOOKUP($B733,Ref_Acuerdos!$A:$E,2,FALSE())="PTA",$A733&gt;=VLOOKUP($B733,Ref_Acuerdos!$A:$E,3,FALSE())),1,0),0)</f>
        <v>1</v>
      </c>
      <c r="J733" s="7" t="n">
        <f aca="false">IFERROR(IF($A733&gt;=VLOOKUP($B733,Ref_Acuerdos!$A:$E,3,FALSE()),VLOOKUP($B733,Ref_Acuerdos!$A:$E,4,FALSE()),""),"")</f>
        <v>10</v>
      </c>
      <c r="K733" s="4" t="str">
        <f aca="false">IFERROR(IF($A733&gt;=VLOOKUP($B733,Ref_Acuerdos!$A:$E,3,FALSE()),VLOOKUP($B733,Ref_Acuerdos!$A:$E,5,FALSE()),"Sin FTA/PTA vigente ese año - arancel NMF"),"Sin FTA/PTA identificado - arancel NMF")</f>
        <v>ALADI - Acuerdo de Alcance Parcial (preferencia limitada, tarifa referencial)</v>
      </c>
    </row>
    <row r="734" customFormat="false" ht="15" hidden="false" customHeight="false" outlineLevel="0" collapsed="false">
      <c r="A734" s="2" t="n">
        <v>2020</v>
      </c>
      <c r="B734" s="2" t="s">
        <v>59</v>
      </c>
      <c r="C734" s="4" t="str">
        <f aca="false">IFERROR(VLOOKUP($B734,Ref_Continente!$A:$B,2,FALSE()),"Sin clasificar")</f>
        <v>Europe</v>
      </c>
      <c r="D734" s="5" t="n">
        <v>40504</v>
      </c>
      <c r="E734" s="6" t="n">
        <v>7904.1</v>
      </c>
      <c r="F734" s="6" t="n">
        <v>10100</v>
      </c>
      <c r="G734" s="5" t="n">
        <v>1907481094079.23</v>
      </c>
      <c r="H734" s="4" t="n">
        <f aca="false">IFERROR(IF(AND(VLOOKUP($B734,Ref_Acuerdos!$A:$E,2,FALSE())="FTA",$A734&gt;=VLOOKUP($B734,Ref_Acuerdos!$A:$E,3,FALSE())),1,0),0)</f>
        <v>1</v>
      </c>
      <c r="I734" s="4" t="n">
        <f aca="false">IFERROR(IF(AND(VLOOKUP($B734,Ref_Acuerdos!$A:$E,2,FALSE())="PTA",$A734&gt;=VLOOKUP($B734,Ref_Acuerdos!$A:$E,3,FALSE())),1,0),0)</f>
        <v>0</v>
      </c>
      <c r="J734" s="7" t="n">
        <f aca="false">IFERROR(IF($A734&gt;=VLOOKUP($B734,Ref_Acuerdos!$A:$E,3,FALSE()),VLOOKUP($B734,Ref_Acuerdos!$A:$E,4,FALSE()),""),"")</f>
        <v>0</v>
      </c>
      <c r="K734" s="4" t="str">
        <f aca="false">IFERROR(IF($A734&gt;=VLOOKUP($B734,Ref_Acuerdos!$A:$E,3,FALSE()),VLOOKUP($B734,Ref_Acuerdos!$A:$E,5,FALSE()),"Sin FTA/PTA vigente ese año - arancel NMF"),"Sin FTA/PTA identificado - arancel NMF")</f>
        <v>UE-Ecuador Acuerdo Multipartes, vigente desde ene-2017</v>
      </c>
    </row>
    <row r="735" customFormat="false" ht="15" hidden="false" customHeight="false" outlineLevel="0" collapsed="false">
      <c r="A735" s="2" t="n">
        <v>2020</v>
      </c>
      <c r="B735" s="2" t="s">
        <v>94</v>
      </c>
      <c r="C735" s="4" t="str">
        <f aca="false">IFERROR(VLOOKUP($B735,Ref_Continente!$A:$B,2,FALSE()),"Sin clasificar")</f>
        <v>Europe</v>
      </c>
      <c r="D735" s="5" t="n">
        <v>35683</v>
      </c>
      <c r="E735" s="6" t="n">
        <v>12752.7</v>
      </c>
      <c r="F735" s="6" t="n">
        <v>11000</v>
      </c>
      <c r="G735" s="5" t="n">
        <v>11530746234.45</v>
      </c>
      <c r="H735" s="4" t="n">
        <f aca="false">IFERROR(IF(AND(VLOOKUP($B735,Ref_Acuerdos!$A:$E,2,FALSE())="FTA",$A735&gt;=VLOOKUP($B735,Ref_Acuerdos!$A:$E,3,FALSE())),1,0),0)</f>
        <v>0</v>
      </c>
      <c r="I735" s="4" t="n">
        <f aca="false">IFERROR(IF(AND(VLOOKUP($B735,Ref_Acuerdos!$A:$E,2,FALSE())="PTA",$A735&gt;=VLOOKUP($B735,Ref_Acuerdos!$A:$E,3,FALSE())),1,0),0)</f>
        <v>0</v>
      </c>
      <c r="J735" s="7" t="str">
        <f aca="false">IFERROR(IF($A735&gt;=VLOOKUP($B735,Ref_Acuerdos!$A:$E,3,FALSE()),VLOOKUP($B735,Ref_Acuerdos!$A:$E,4,FALSE()),""),"")</f>
        <v/>
      </c>
      <c r="K735" s="4" t="str">
        <f aca="false">IFERROR(IF($A735&gt;=VLOOKUP($B735,Ref_Acuerdos!$A:$E,3,FALSE()),VLOOKUP($B735,Ref_Acuerdos!$A:$E,5,FALSE()),"Sin FTA/PTA vigente ese año - arancel NMF"),"Sin FTA/PTA identificado - arancel NMF")</f>
        <v>Sin FTA/PTA identificado - arancel NMF</v>
      </c>
    </row>
    <row r="736" customFormat="false" ht="15" hidden="false" customHeight="false" outlineLevel="0" collapsed="false">
      <c r="A736" s="2" t="n">
        <v>2020</v>
      </c>
      <c r="B736" s="2" t="s">
        <v>72</v>
      </c>
      <c r="C736" s="4" t="str">
        <f aca="false">IFERROR(VLOOKUP($B736,Ref_Continente!$A:$B,2,FALSE()),"Sin clasificar")</f>
        <v>Europe</v>
      </c>
      <c r="D736" s="5" t="n">
        <v>35111</v>
      </c>
      <c r="E736" s="6" t="n">
        <v>7357.3</v>
      </c>
      <c r="F736" s="6" t="n">
        <v>10200</v>
      </c>
      <c r="G736" s="5" t="n">
        <v>16404663226.46</v>
      </c>
      <c r="H736" s="4" t="n">
        <f aca="false">IFERROR(IF(AND(VLOOKUP($B736,Ref_Acuerdos!$A:$E,2,FALSE())="FTA",$A736&gt;=VLOOKUP($B736,Ref_Acuerdos!$A:$E,3,FALSE())),1,0),0)</f>
        <v>1</v>
      </c>
      <c r="I736" s="4" t="n">
        <f aca="false">IFERROR(IF(AND(VLOOKUP($B736,Ref_Acuerdos!$A:$E,2,FALSE())="PTA",$A736&gt;=VLOOKUP($B736,Ref_Acuerdos!$A:$E,3,FALSE())),1,0),0)</f>
        <v>0</v>
      </c>
      <c r="J736" s="7" t="n">
        <f aca="false">IFERROR(IF($A736&gt;=VLOOKUP($B736,Ref_Acuerdos!$A:$E,3,FALSE()),VLOOKUP($B736,Ref_Acuerdos!$A:$E,4,FALSE()),""),"")</f>
        <v>0</v>
      </c>
      <c r="K736" s="4" t="str">
        <f aca="false">IFERROR(IF($A736&gt;=VLOOKUP($B736,Ref_Acuerdos!$A:$E,3,FALSE()),VLOOKUP($B736,Ref_Acuerdos!$A:$E,5,FALSE()),"Sin FTA/PTA vigente ese año - arancel NMF"),"Sin FTA/PTA identificado - arancel NMF")</f>
        <v>UE-Ecuador Acuerdo Multipartes, vigente desde ene-2017</v>
      </c>
    </row>
    <row r="737" customFormat="false" ht="15" hidden="false" customHeight="false" outlineLevel="0" collapsed="false">
      <c r="A737" s="2" t="n">
        <v>2020</v>
      </c>
      <c r="B737" s="2" t="s">
        <v>111</v>
      </c>
      <c r="C737" s="4" t="str">
        <f aca="false">IFERROR(VLOOKUP($B737,Ref_Continente!$A:$B,2,FALSE()),"Sin clasificar")</f>
        <v>North America</v>
      </c>
      <c r="D737" s="5" t="n">
        <v>30283</v>
      </c>
      <c r="E737" s="6" t="n">
        <v>7758.4</v>
      </c>
      <c r="F737" s="6" t="n">
        <v>2530</v>
      </c>
      <c r="G737" s="5" t="n">
        <v>20888515184.22</v>
      </c>
      <c r="H737" s="4" t="n">
        <f aca="false">IFERROR(IF(AND(VLOOKUP($B737,Ref_Acuerdos!$A:$E,2,FALSE())="FTA",$A737&gt;=VLOOKUP($B737,Ref_Acuerdos!$A:$E,3,FALSE())),1,0),0)</f>
        <v>0</v>
      </c>
      <c r="I737" s="4" t="n">
        <f aca="false">IFERROR(IF(AND(VLOOKUP($B737,Ref_Acuerdos!$A:$E,2,FALSE())="PTA",$A737&gt;=VLOOKUP($B737,Ref_Acuerdos!$A:$E,3,FALSE())),1,0),0)</f>
        <v>0</v>
      </c>
      <c r="J737" s="7" t="str">
        <f aca="false">IFERROR(IF($A737&gt;=VLOOKUP($B737,Ref_Acuerdos!$A:$E,3,FALSE()),VLOOKUP($B737,Ref_Acuerdos!$A:$E,4,FALSE()),""),"")</f>
        <v/>
      </c>
      <c r="K737" s="4" t="str">
        <f aca="false">IFERROR(IF($A737&gt;=VLOOKUP($B737,Ref_Acuerdos!$A:$E,3,FALSE()),VLOOKUP($B737,Ref_Acuerdos!$A:$E,5,FALSE()),"Sin FTA/PTA vigente ese año - arancel NMF"),"Sin FTA/PTA identificado - arancel NMF")</f>
        <v>Sin FTA/PTA identificado - arancel NMF</v>
      </c>
    </row>
    <row r="738" customFormat="false" ht="15" hidden="false" customHeight="false" outlineLevel="0" collapsed="false">
      <c r="A738" s="2" t="n">
        <v>2020</v>
      </c>
      <c r="B738" s="2" t="s">
        <v>103</v>
      </c>
      <c r="C738" s="4" t="str">
        <f aca="false">IFERROR(VLOOKUP($B738,Ref_Continente!$A:$B,2,FALSE()),"Sin clasificar")</f>
        <v>Europe</v>
      </c>
      <c r="D738" s="5" t="n">
        <v>28529</v>
      </c>
      <c r="E738" s="6" t="n">
        <v>6513.7</v>
      </c>
      <c r="F738" s="6" t="n">
        <v>10500</v>
      </c>
      <c r="G738" s="5"/>
      <c r="H738" s="4" t="n">
        <f aca="false">IFERROR(IF(AND(VLOOKUP($B738,Ref_Acuerdos!$A:$E,2,FALSE())="FTA",$A738&gt;=VLOOKUP($B738,Ref_Acuerdos!$A:$E,3,FALSE())),1,0),0)</f>
        <v>1</v>
      </c>
      <c r="I738" s="4" t="n">
        <f aca="false">IFERROR(IF(AND(VLOOKUP($B738,Ref_Acuerdos!$A:$E,2,FALSE())="PTA",$A738&gt;=VLOOKUP($B738,Ref_Acuerdos!$A:$E,3,FALSE())),1,0),0)</f>
        <v>0</v>
      </c>
      <c r="J738" s="7" t="n">
        <f aca="false">IFERROR(IF($A738&gt;=VLOOKUP($B738,Ref_Acuerdos!$A:$E,3,FALSE()),VLOOKUP($B738,Ref_Acuerdos!$A:$E,4,FALSE()),""),"")</f>
        <v>0</v>
      </c>
      <c r="K738" s="4" t="str">
        <f aca="false">IFERROR(IF($A738&gt;=VLOOKUP($B738,Ref_Acuerdos!$A:$E,3,FALSE()),VLOOKUP($B738,Ref_Acuerdos!$A:$E,5,FALSE()),"Sin FTA/PTA vigente ese año - arancel NMF"),"Sin FTA/PTA identificado - arancel NMF")</f>
        <v>UE-Ecuador Acuerdo Multipartes, vigente desde ene-2017</v>
      </c>
    </row>
    <row r="739" customFormat="false" ht="15" hidden="false" customHeight="false" outlineLevel="0" collapsed="false">
      <c r="A739" s="2" t="n">
        <v>2020</v>
      </c>
      <c r="B739" s="2" t="s">
        <v>95</v>
      </c>
      <c r="C739" s="4" t="str">
        <f aca="false">IFERROR(VLOOKUP($B739,Ref_Continente!$A:$B,2,FALSE()),"Sin clasificar")</f>
        <v>Europe</v>
      </c>
      <c r="D739" s="5" t="n">
        <v>27398</v>
      </c>
      <c r="E739" s="6" t="n">
        <v>7782.6</v>
      </c>
      <c r="F739" s="6" t="n">
        <v>11300</v>
      </c>
      <c r="G739" s="5" t="n">
        <v>250625048303.58</v>
      </c>
      <c r="H739" s="4" t="n">
        <f aca="false">IFERROR(IF(AND(VLOOKUP($B739,Ref_Acuerdos!$A:$E,2,FALSE())="FTA",$A739&gt;=VLOOKUP($B739,Ref_Acuerdos!$A:$E,3,FALSE())),1,0),0)</f>
        <v>1</v>
      </c>
      <c r="I739" s="4" t="n">
        <f aca="false">IFERROR(IF(AND(VLOOKUP($B739,Ref_Acuerdos!$A:$E,2,FALSE())="PTA",$A739&gt;=VLOOKUP($B739,Ref_Acuerdos!$A:$E,3,FALSE())),1,0),0)</f>
        <v>0</v>
      </c>
      <c r="J739" s="7" t="n">
        <f aca="false">IFERROR(IF($A739&gt;=VLOOKUP($B739,Ref_Acuerdos!$A:$E,3,FALSE()),VLOOKUP($B739,Ref_Acuerdos!$A:$E,4,FALSE()),""),"")</f>
        <v>0</v>
      </c>
      <c r="K739" s="4" t="str">
        <f aca="false">IFERROR(IF($A739&gt;=VLOOKUP($B739,Ref_Acuerdos!$A:$E,3,FALSE()),VLOOKUP($B739,Ref_Acuerdos!$A:$E,5,FALSE()),"Sin FTA/PTA vigente ese año - arancel NMF"),"Sin FTA/PTA identificado - arancel NMF")</f>
        <v>UE-Ecuador Acuerdo Multipartes, vigente desde ene-2017</v>
      </c>
    </row>
    <row r="740" customFormat="false" ht="15" hidden="false" customHeight="false" outlineLevel="0" collapsed="false">
      <c r="A740" s="2" t="n">
        <v>2020</v>
      </c>
      <c r="B740" s="2" t="s">
        <v>60</v>
      </c>
      <c r="C740" s="4" t="str">
        <f aca="false">IFERROR(VLOOKUP($B740,Ref_Continente!$A:$B,2,FALSE()),"Sin clasificar")</f>
        <v>North America</v>
      </c>
      <c r="D740" s="5" t="n">
        <v>24115</v>
      </c>
      <c r="E740" s="6" t="n">
        <v>4084.2</v>
      </c>
      <c r="F740" s="6" t="n">
        <v>1900</v>
      </c>
      <c r="G740" s="5" t="n">
        <v>15000214216.24</v>
      </c>
      <c r="H740" s="4" t="n">
        <f aca="false">IFERROR(IF(AND(VLOOKUP($B740,Ref_Acuerdos!$A:$E,2,FALSE())="FTA",$A740&gt;=VLOOKUP($B740,Ref_Acuerdos!$A:$E,3,FALSE())),1,0),0)</f>
        <v>0</v>
      </c>
      <c r="I740" s="4" t="n">
        <f aca="false">IFERROR(IF(AND(VLOOKUP($B740,Ref_Acuerdos!$A:$E,2,FALSE())="PTA",$A740&gt;=VLOOKUP($B740,Ref_Acuerdos!$A:$E,3,FALSE())),1,0),0)</f>
        <v>0</v>
      </c>
      <c r="J740" s="7" t="str">
        <f aca="false">IFERROR(IF($A740&gt;=VLOOKUP($B740,Ref_Acuerdos!$A:$E,3,FALSE()),VLOOKUP($B740,Ref_Acuerdos!$A:$E,4,FALSE()),""),"")</f>
        <v/>
      </c>
      <c r="K740" s="4" t="str">
        <f aca="false">IFERROR(IF($A740&gt;=VLOOKUP($B740,Ref_Acuerdos!$A:$E,3,FALSE()),VLOOKUP($B740,Ref_Acuerdos!$A:$E,5,FALSE()),"Sin FTA/PTA vigente ese año - arancel NMF"),"Sin FTA/PTA identificado - arancel NMF")</f>
        <v>Sin FTA/PTA identificado - arancel NMF</v>
      </c>
    </row>
    <row r="741" customFormat="false" ht="15" hidden="false" customHeight="false" outlineLevel="0" collapsed="false">
      <c r="A741" s="2" t="n">
        <v>2020</v>
      </c>
      <c r="B741" s="2" t="s">
        <v>88</v>
      </c>
      <c r="C741" s="4" t="str">
        <f aca="false">IFERROR(VLOOKUP($B741,Ref_Continente!$A:$B,2,FALSE()),"Sin clasificar")</f>
        <v>South America</v>
      </c>
      <c r="D741" s="5" t="n">
        <v>23696</v>
      </c>
      <c r="E741" s="6" t="n">
        <v>11559</v>
      </c>
      <c r="F741" s="6" t="n">
        <v>1320</v>
      </c>
      <c r="G741" s="5" t="n">
        <v>201409694755.93</v>
      </c>
      <c r="H741" s="4" t="n">
        <f aca="false">IFERROR(IF(AND(VLOOKUP($B741,Ref_Acuerdos!$A:$E,2,FALSE())="FTA",$A741&gt;=VLOOKUP($B741,Ref_Acuerdos!$A:$E,3,FALSE())),1,0),0)</f>
        <v>0</v>
      </c>
      <c r="I741" s="4" t="n">
        <f aca="false">IFERROR(IF(AND(VLOOKUP($B741,Ref_Acuerdos!$A:$E,2,FALSE())="PTA",$A741&gt;=VLOOKUP($B741,Ref_Acuerdos!$A:$E,3,FALSE())),1,0),0)</f>
        <v>1</v>
      </c>
      <c r="J741" s="7" t="n">
        <f aca="false">IFERROR(IF($A741&gt;=VLOOKUP($B741,Ref_Acuerdos!$A:$E,3,FALSE()),VLOOKUP($B741,Ref_Acuerdos!$A:$E,4,FALSE()),""),"")</f>
        <v>0</v>
      </c>
      <c r="K741" s="4" t="str">
        <f aca="false">IFERROR(IF($A741&gt;=VLOOKUP($B741,Ref_Acuerdos!$A:$E,3,FALSE()),VLOOKUP($B741,Ref_Acuerdos!$A:$E,5,FALSE()),"Sin FTA/PTA vigente ese año - arancel NMF"),"Sin FTA/PTA identificado - arancel NMF")</f>
        <v>Comunidad Andina (CAN) - libre comercio intracomunitario</v>
      </c>
    </row>
    <row r="742" customFormat="false" ht="15" hidden="false" customHeight="false" outlineLevel="0" collapsed="false">
      <c r="A742" s="2" t="n">
        <v>2020</v>
      </c>
      <c r="B742" s="2" t="s">
        <v>92</v>
      </c>
      <c r="C742" s="4" t="str">
        <f aca="false">IFERROR(VLOOKUP($B742,Ref_Continente!$A:$B,2,FALSE()),"Sin clasificar")</f>
        <v>Asia</v>
      </c>
      <c r="D742" s="5" t="n">
        <v>16750</v>
      </c>
      <c r="E742" s="6" t="n">
        <v>4475</v>
      </c>
      <c r="F742" s="6" t="n">
        <v>14000</v>
      </c>
      <c r="G742" s="5" t="n">
        <v>144411538461.54</v>
      </c>
      <c r="H742" s="4" t="n">
        <f aca="false">IFERROR(IF(AND(VLOOKUP($B742,Ref_Acuerdos!$A:$E,2,FALSE())="FTA",$A742&gt;=VLOOKUP($B742,Ref_Acuerdos!$A:$E,3,FALSE())),1,0),0)</f>
        <v>0</v>
      </c>
      <c r="I742" s="4" t="n">
        <f aca="false">IFERROR(IF(AND(VLOOKUP($B742,Ref_Acuerdos!$A:$E,2,FALSE())="PTA",$A742&gt;=VLOOKUP($B742,Ref_Acuerdos!$A:$E,3,FALSE())),1,0),0)</f>
        <v>0</v>
      </c>
      <c r="J742" s="7" t="str">
        <f aca="false">IFERROR(IF($A742&gt;=VLOOKUP($B742,Ref_Acuerdos!$A:$E,3,FALSE()),VLOOKUP($B742,Ref_Acuerdos!$A:$E,4,FALSE()),""),"")</f>
        <v/>
      </c>
      <c r="K742" s="4" t="str">
        <f aca="false">IFERROR(IF($A742&gt;=VLOOKUP($B742,Ref_Acuerdos!$A:$E,3,FALSE()),VLOOKUP($B742,Ref_Acuerdos!$A:$E,5,FALSE()),"Sin FTA/PTA vigente ese año - arancel NMF"),"Sin FTA/PTA identificado - arancel NMF")</f>
        <v>Sin FTA/PTA identificado - arancel NMF</v>
      </c>
    </row>
    <row r="743" customFormat="false" ht="15" hidden="false" customHeight="false" outlineLevel="0" collapsed="false">
      <c r="A743" s="2" t="n">
        <v>2020</v>
      </c>
      <c r="B743" s="2" t="s">
        <v>6</v>
      </c>
      <c r="C743" s="4" t="str">
        <f aca="false">IFERROR(VLOOKUP($B743,Ref_Continente!$A:$B,2,FALSE()),"Sin clasificar")</f>
        <v>South America</v>
      </c>
      <c r="D743" s="5" t="n">
        <v>16112</v>
      </c>
      <c r="E743" s="6" t="n">
        <v>4651.7</v>
      </c>
      <c r="F743" s="6" t="n">
        <v>4320</v>
      </c>
      <c r="G743" s="5" t="n">
        <v>385740508436.97</v>
      </c>
      <c r="H743" s="4" t="n">
        <f aca="false">IFERROR(IF(AND(VLOOKUP($B743,Ref_Acuerdos!$A:$E,2,FALSE())="FTA",$A743&gt;=VLOOKUP($B743,Ref_Acuerdos!$A:$E,3,FALSE())),1,0),0)</f>
        <v>0</v>
      </c>
      <c r="I743" s="4" t="n">
        <f aca="false">IFERROR(IF(AND(VLOOKUP($B743,Ref_Acuerdos!$A:$E,2,FALSE())="PTA",$A743&gt;=VLOOKUP($B743,Ref_Acuerdos!$A:$E,3,FALSE())),1,0),0)</f>
        <v>1</v>
      </c>
      <c r="J743" s="7" t="n">
        <f aca="false">IFERROR(IF($A743&gt;=VLOOKUP($B743,Ref_Acuerdos!$A:$E,3,FALSE()),VLOOKUP($B743,Ref_Acuerdos!$A:$E,4,FALSE()),""),"")</f>
        <v>5</v>
      </c>
      <c r="K743" s="4" t="str">
        <f aca="false">IFERROR(IF($A743&gt;=VLOOKUP($B743,Ref_Acuerdos!$A:$E,3,FALSE()),VLOOKUP($B743,Ref_Acuerdos!$A:$E,5,FALSE()),"Sin FTA/PTA vigente ese año - arancel NMF"),"Sin FTA/PTA identificado - arancel NMF")</f>
        <v>Ecuador-Mercosur ACE 59 - preferencias parciales (tarifa referencial)</v>
      </c>
    </row>
    <row r="744" customFormat="false" ht="15" hidden="false" customHeight="false" outlineLevel="0" collapsed="false">
      <c r="A744" s="2" t="n">
        <v>2020</v>
      </c>
      <c r="B744" s="2" t="s">
        <v>66</v>
      </c>
      <c r="C744" s="4" t="str">
        <f aca="false">IFERROR(VLOOKUP($B744,Ref_Continente!$A:$B,2,FALSE()),"Sin clasificar")</f>
        <v>Europe</v>
      </c>
      <c r="D744" s="5" t="n">
        <v>16049</v>
      </c>
      <c r="E744" s="6" t="n">
        <v>3697.7</v>
      </c>
      <c r="F744" s="6" t="n">
        <v>10400</v>
      </c>
      <c r="G744" s="5" t="n">
        <v>33379927434.61</v>
      </c>
      <c r="H744" s="4" t="n">
        <f aca="false">IFERROR(IF(AND(VLOOKUP($B744,Ref_Acuerdos!$A:$E,2,FALSE())="FTA",$A744&gt;=VLOOKUP($B744,Ref_Acuerdos!$A:$E,3,FALSE())),1,0),0)</f>
        <v>1</v>
      </c>
      <c r="I744" s="4" t="n">
        <f aca="false">IFERROR(IF(AND(VLOOKUP($B744,Ref_Acuerdos!$A:$E,2,FALSE())="PTA",$A744&gt;=VLOOKUP($B744,Ref_Acuerdos!$A:$E,3,FALSE())),1,0),0)</f>
        <v>0</v>
      </c>
      <c r="J744" s="7" t="n">
        <f aca="false">IFERROR(IF($A744&gt;=VLOOKUP($B744,Ref_Acuerdos!$A:$E,3,FALSE()),VLOOKUP($B744,Ref_Acuerdos!$A:$E,4,FALSE()),""),"")</f>
        <v>0</v>
      </c>
      <c r="K744" s="4" t="str">
        <f aca="false">IFERROR(IF($A744&gt;=VLOOKUP($B744,Ref_Acuerdos!$A:$E,3,FALSE()),VLOOKUP($B744,Ref_Acuerdos!$A:$E,5,FALSE()),"Sin FTA/PTA vigente ese año - arancel NMF"),"Sin FTA/PTA identificado - arancel NMF")</f>
        <v>UE-Ecuador Acuerdo Multipartes, vigente desde ene-2017</v>
      </c>
    </row>
    <row r="745" customFormat="false" ht="15" hidden="false" customHeight="false" outlineLevel="0" collapsed="false">
      <c r="A745" s="2" t="n">
        <v>2020</v>
      </c>
      <c r="B745" s="2" t="s">
        <v>31</v>
      </c>
      <c r="C745" s="4" t="str">
        <f aca="false">IFERROR(VLOOKUP($B745,Ref_Continente!$A:$B,2,FALSE()),"Sin clasificar")</f>
        <v>Europe</v>
      </c>
      <c r="D745" s="5" t="n">
        <v>14643</v>
      </c>
      <c r="E745" s="6" t="n">
        <v>228</v>
      </c>
      <c r="F745" s="6" t="n">
        <v>10400</v>
      </c>
      <c r="G745" s="5" t="n">
        <v>57959843541.37</v>
      </c>
      <c r="H745" s="4" t="n">
        <f aca="false">IFERROR(IF(AND(VLOOKUP($B745,Ref_Acuerdos!$A:$E,2,FALSE())="FTA",$A745&gt;=VLOOKUP($B745,Ref_Acuerdos!$A:$E,3,FALSE())),1,0),0)</f>
        <v>1</v>
      </c>
      <c r="I745" s="4" t="n">
        <f aca="false">IFERROR(IF(AND(VLOOKUP($B745,Ref_Acuerdos!$A:$E,2,FALSE())="PTA",$A745&gt;=VLOOKUP($B745,Ref_Acuerdos!$A:$E,3,FALSE())),1,0),0)</f>
        <v>0</v>
      </c>
      <c r="J745" s="7" t="n">
        <f aca="false">IFERROR(IF($A745&gt;=VLOOKUP($B745,Ref_Acuerdos!$A:$E,3,FALSE()),VLOOKUP($B745,Ref_Acuerdos!$A:$E,4,FALSE()),""),"")</f>
        <v>0</v>
      </c>
      <c r="K745" s="4" t="str">
        <f aca="false">IFERROR(IF($A745&gt;=VLOOKUP($B745,Ref_Acuerdos!$A:$E,3,FALSE()),VLOOKUP($B745,Ref_Acuerdos!$A:$E,5,FALSE()),"Sin FTA/PTA vigente ese año - arancel NMF"),"Sin FTA/PTA identificado - arancel NMF")</f>
        <v>UE-Ecuador Acuerdo Multipartes, vigente desde ene-2017</v>
      </c>
    </row>
    <row r="746" customFormat="false" ht="15" hidden="false" customHeight="false" outlineLevel="0" collapsed="false">
      <c r="A746" s="2" t="n">
        <v>2020</v>
      </c>
      <c r="B746" s="2" t="s">
        <v>64</v>
      </c>
      <c r="C746" s="4" t="str">
        <f aca="false">IFERROR(VLOOKUP($B746,Ref_Continente!$A:$B,2,FALSE()),"Sin clasificar")</f>
        <v>Asia</v>
      </c>
      <c r="D746" s="5" t="n">
        <v>14512</v>
      </c>
      <c r="E746" s="6" t="n">
        <v>8781.3</v>
      </c>
      <c r="F746" s="6" t="n">
        <v>13500</v>
      </c>
      <c r="G746" s="5" t="n">
        <v>111045470605.72</v>
      </c>
      <c r="H746" s="4" t="n">
        <f aca="false">IFERROR(IF(AND(VLOOKUP($B746,Ref_Acuerdos!$A:$E,2,FALSE())="FTA",$A746&gt;=VLOOKUP($B746,Ref_Acuerdos!$A:$E,3,FALSE())),1,0),0)</f>
        <v>0</v>
      </c>
      <c r="I746" s="4" t="n">
        <f aca="false">IFERROR(IF(AND(VLOOKUP($B746,Ref_Acuerdos!$A:$E,2,FALSE())="PTA",$A746&gt;=VLOOKUP($B746,Ref_Acuerdos!$A:$E,3,FALSE())),1,0),0)</f>
        <v>0</v>
      </c>
      <c r="J746" s="7" t="str">
        <f aca="false">IFERROR(IF($A746&gt;=VLOOKUP($B746,Ref_Acuerdos!$A:$E,3,FALSE()),VLOOKUP($B746,Ref_Acuerdos!$A:$E,4,FALSE()),""),"")</f>
        <v/>
      </c>
      <c r="K746" s="4" t="str">
        <f aca="false">IFERROR(IF($A746&gt;=VLOOKUP($B746,Ref_Acuerdos!$A:$E,3,FALSE()),VLOOKUP($B746,Ref_Acuerdos!$A:$E,5,FALSE()),"Sin FTA/PTA vigente ese año - arancel NMF"),"Sin FTA/PTA identificado - arancel NMF")</f>
        <v>Sin FTA/PTA identificado - arancel NMF</v>
      </c>
    </row>
    <row r="747" customFormat="false" ht="15" hidden="false" customHeight="false" outlineLevel="0" collapsed="false">
      <c r="A747" s="2" t="n">
        <v>2020</v>
      </c>
      <c r="B747" s="2" t="s">
        <v>54</v>
      </c>
      <c r="C747" s="4" t="str">
        <f aca="false">IFERROR(VLOOKUP($B747,Ref_Continente!$A:$B,2,FALSE()),"Sin clasificar")</f>
        <v>Asia</v>
      </c>
      <c r="D747" s="5" t="n">
        <v>13395</v>
      </c>
      <c r="E747" s="6" t="n">
        <v>1734.9</v>
      </c>
      <c r="F747" s="6" t="n">
        <v>19300</v>
      </c>
      <c r="G747" s="5" t="n">
        <v>1059054842698.48</v>
      </c>
      <c r="H747" s="4" t="n">
        <f aca="false">IFERROR(IF(AND(VLOOKUP($B747,Ref_Acuerdos!$A:$E,2,FALSE())="FTA",$A747&gt;=VLOOKUP($B747,Ref_Acuerdos!$A:$E,3,FALSE())),1,0),0)</f>
        <v>0</v>
      </c>
      <c r="I747" s="4" t="n">
        <f aca="false">IFERROR(IF(AND(VLOOKUP($B747,Ref_Acuerdos!$A:$E,2,FALSE())="PTA",$A747&gt;=VLOOKUP($B747,Ref_Acuerdos!$A:$E,3,FALSE())),1,0),0)</f>
        <v>0</v>
      </c>
      <c r="J747" s="7" t="str">
        <f aca="false">IFERROR(IF($A747&gt;=VLOOKUP($B747,Ref_Acuerdos!$A:$E,3,FALSE()),VLOOKUP($B747,Ref_Acuerdos!$A:$E,4,FALSE()),""),"")</f>
        <v/>
      </c>
      <c r="K747" s="4" t="str">
        <f aca="false">IFERROR(IF($A747&gt;=VLOOKUP($B747,Ref_Acuerdos!$A:$E,3,FALSE()),VLOOKUP($B747,Ref_Acuerdos!$A:$E,5,FALSE()),"Sin FTA/PTA vigente ese año - arancel NMF"),"Sin FTA/PTA identificado - arancel NMF")</f>
        <v>Sin FTA/PTA identificado - arancel NMF</v>
      </c>
    </row>
    <row r="748" customFormat="false" ht="15" hidden="false" customHeight="false" outlineLevel="0" collapsed="false">
      <c r="A748" s="2" t="n">
        <v>2020</v>
      </c>
      <c r="B748" s="2" t="s">
        <v>35</v>
      </c>
      <c r="C748" s="4" t="str">
        <f aca="false">IFERROR(VLOOKUP($B748,Ref_Continente!$A:$B,2,FALSE()),"Sin clasificar")</f>
        <v>Europe</v>
      </c>
      <c r="D748" s="5" t="n">
        <v>11603</v>
      </c>
      <c r="E748" s="6" t="n">
        <v>3309.1</v>
      </c>
      <c r="F748" s="6" t="n">
        <v>10100</v>
      </c>
      <c r="G748" s="5" t="n">
        <v>251109660602.54</v>
      </c>
      <c r="H748" s="4" t="n">
        <f aca="false">IFERROR(IF(AND(VLOOKUP($B748,Ref_Acuerdos!$A:$E,2,FALSE())="FTA",$A748&gt;=VLOOKUP($B748,Ref_Acuerdos!$A:$E,3,FALSE())),1,0),0)</f>
        <v>1</v>
      </c>
      <c r="I748" s="4" t="n">
        <f aca="false">IFERROR(IF(AND(VLOOKUP($B748,Ref_Acuerdos!$A:$E,2,FALSE())="PTA",$A748&gt;=VLOOKUP($B748,Ref_Acuerdos!$A:$E,3,FALSE())),1,0),0)</f>
        <v>0</v>
      </c>
      <c r="J748" s="7" t="n">
        <f aca="false">IFERROR(IF($A748&gt;=VLOOKUP($B748,Ref_Acuerdos!$A:$E,3,FALSE()),VLOOKUP($B748,Ref_Acuerdos!$A:$E,4,FALSE()),""),"")</f>
        <v>0</v>
      </c>
      <c r="K748" s="4" t="str">
        <f aca="false">IFERROR(IF($A748&gt;=VLOOKUP($B748,Ref_Acuerdos!$A:$E,3,FALSE()),VLOOKUP($B748,Ref_Acuerdos!$A:$E,5,FALSE()),"Sin FTA/PTA vigente ese año - arancel NMF"),"Sin FTA/PTA identificado - arancel NMF")</f>
        <v>UE-Ecuador Acuerdo Multipartes, vigente desde ene-2017</v>
      </c>
    </row>
    <row r="749" customFormat="false" ht="15" hidden="false" customHeight="false" outlineLevel="0" collapsed="false">
      <c r="A749" s="2" t="n">
        <v>2020</v>
      </c>
      <c r="B749" s="2" t="s">
        <v>91</v>
      </c>
      <c r="C749" s="4" t="str">
        <f aca="false">IFERROR(VLOOKUP($B749,Ref_Continente!$A:$B,2,FALSE()),"Sin clasificar")</f>
        <v>Europe</v>
      </c>
      <c r="D749" s="5" t="n">
        <v>11008</v>
      </c>
      <c r="E749" s="6" t="n">
        <v>2809.4</v>
      </c>
      <c r="F749" s="6" t="n">
        <v>8700</v>
      </c>
      <c r="G749" s="5" t="n">
        <v>229618773422.58</v>
      </c>
      <c r="H749" s="4" t="n">
        <f aca="false">IFERROR(IF(AND(VLOOKUP($B749,Ref_Acuerdos!$A:$E,2,FALSE())="FTA",$A749&gt;=VLOOKUP($B749,Ref_Acuerdos!$A:$E,3,FALSE())),1,0),0)</f>
        <v>1</v>
      </c>
      <c r="I749" s="4" t="n">
        <f aca="false">IFERROR(IF(AND(VLOOKUP($B749,Ref_Acuerdos!$A:$E,2,FALSE())="PTA",$A749&gt;=VLOOKUP($B749,Ref_Acuerdos!$A:$E,3,FALSE())),1,0),0)</f>
        <v>0</v>
      </c>
      <c r="J749" s="7" t="n">
        <f aca="false">IFERROR(IF($A749&gt;=VLOOKUP($B749,Ref_Acuerdos!$A:$E,3,FALSE()),VLOOKUP($B749,Ref_Acuerdos!$A:$E,4,FALSE()),""),"")</f>
        <v>0</v>
      </c>
      <c r="K749" s="4" t="str">
        <f aca="false">IFERROR(IF($A749&gt;=VLOOKUP($B749,Ref_Acuerdos!$A:$E,3,FALSE()),VLOOKUP($B749,Ref_Acuerdos!$A:$E,5,FALSE()),"Sin FTA/PTA vigente ese año - arancel NMF"),"Sin FTA/PTA identificado - arancel NMF")</f>
        <v>UE-Ecuador Acuerdo Multipartes, vigente desde ene-2017</v>
      </c>
    </row>
    <row r="750" customFormat="false" ht="15" hidden="false" customHeight="false" outlineLevel="0" collapsed="false">
      <c r="A750" s="2" t="n">
        <v>2020</v>
      </c>
      <c r="B750" s="2" t="s">
        <v>39</v>
      </c>
      <c r="C750" s="4" t="str">
        <f aca="false">IFERROR(VLOOKUP($B750,Ref_Continente!$A:$B,2,FALSE()),"Sin clasificar")</f>
        <v>North America</v>
      </c>
      <c r="D750" s="5" t="n">
        <v>10957</v>
      </c>
      <c r="E750" s="6" t="n">
        <v>2731.6</v>
      </c>
      <c r="F750" s="6" t="n">
        <v>2000</v>
      </c>
      <c r="G750" s="5" t="n">
        <v>24921190000</v>
      </c>
      <c r="H750" s="4" t="n">
        <f aca="false">IFERROR(IF(AND(VLOOKUP($B750,Ref_Acuerdos!$A:$E,2,FALSE())="FTA",$A750&gt;=VLOOKUP($B750,Ref_Acuerdos!$A:$E,3,FALSE())),1,0),0)</f>
        <v>0</v>
      </c>
      <c r="I750" s="4" t="n">
        <f aca="false">IFERROR(IF(AND(VLOOKUP($B750,Ref_Acuerdos!$A:$E,2,FALSE())="PTA",$A750&gt;=VLOOKUP($B750,Ref_Acuerdos!$A:$E,3,FALSE())),1,0),0)</f>
        <v>0</v>
      </c>
      <c r="J750" s="7" t="str">
        <f aca="false">IFERROR(IF($A750&gt;=VLOOKUP($B750,Ref_Acuerdos!$A:$E,3,FALSE()),VLOOKUP($B750,Ref_Acuerdos!$A:$E,4,FALSE()),""),"")</f>
        <v/>
      </c>
      <c r="K750" s="4" t="str">
        <f aca="false">IFERROR(IF($A750&gt;=VLOOKUP($B750,Ref_Acuerdos!$A:$E,3,FALSE()),VLOOKUP($B750,Ref_Acuerdos!$A:$E,5,FALSE()),"Sin FTA/PTA vigente ese año - arancel NMF"),"Sin FTA/PTA identificado - arancel NMF")</f>
        <v>Sin FTA/PTA identificado - arancel NMF</v>
      </c>
    </row>
    <row r="751" customFormat="false" ht="15" hidden="false" customHeight="false" outlineLevel="0" collapsed="false">
      <c r="A751" s="2" t="n">
        <v>2020</v>
      </c>
      <c r="B751" s="2" t="s">
        <v>32</v>
      </c>
      <c r="C751" s="4" t="str">
        <f aca="false">IFERROR(VLOOKUP($B751,Ref_Continente!$A:$B,2,FALSE()),"Sin clasificar")</f>
        <v>North America</v>
      </c>
      <c r="D751" s="5" t="n">
        <v>9490</v>
      </c>
      <c r="E751" s="6" t="n">
        <v>2006.8</v>
      </c>
      <c r="F751" s="6" t="n">
        <v>2450</v>
      </c>
      <c r="G751" s="5" t="n">
        <v>107352000000</v>
      </c>
      <c r="H751" s="4" t="n">
        <f aca="false">IFERROR(IF(AND(VLOOKUP($B751,Ref_Acuerdos!$A:$E,2,FALSE())="FTA",$A751&gt;=VLOOKUP($B751,Ref_Acuerdos!$A:$E,3,FALSE())),1,0),0)</f>
        <v>0</v>
      </c>
      <c r="I751" s="4" t="n">
        <f aca="false">IFERROR(IF(AND(VLOOKUP($B751,Ref_Acuerdos!$A:$E,2,FALSE())="PTA",$A751&gt;=VLOOKUP($B751,Ref_Acuerdos!$A:$E,3,FALSE())),1,0),0)</f>
        <v>1</v>
      </c>
      <c r="J751" s="7" t="n">
        <f aca="false">IFERROR(IF($A751&gt;=VLOOKUP($B751,Ref_Acuerdos!$A:$E,3,FALSE()),VLOOKUP($B751,Ref_Acuerdos!$A:$E,4,FALSE()),""),"")</f>
        <v>10</v>
      </c>
      <c r="K751" s="4" t="str">
        <f aca="false">IFERROR(IF($A751&gt;=VLOOKUP($B751,Ref_Acuerdos!$A:$E,3,FALSE()),VLOOKUP($B751,Ref_Acuerdos!$A:$E,5,FALSE()),"Sin FTA/PTA vigente ese año - arancel NMF"),"Sin FTA/PTA identificado - arancel NMF")</f>
        <v>ALADI - Acuerdo de Alcance Parcial (preferencia limitada, tarifa referencial)</v>
      </c>
    </row>
    <row r="752" customFormat="false" ht="15" hidden="false" customHeight="false" outlineLevel="0" collapsed="false">
      <c r="A752" s="2" t="n">
        <v>2020</v>
      </c>
      <c r="B752" s="2" t="s">
        <v>90</v>
      </c>
      <c r="C752" s="4" t="str">
        <f aca="false">IFERROR(VLOOKUP($B752,Ref_Continente!$A:$B,2,FALSE()),"Sin clasificar")</f>
        <v>Europe</v>
      </c>
      <c r="D752" s="5" t="n">
        <v>8660</v>
      </c>
      <c r="E752" s="6" t="n">
        <v>5780.8</v>
      </c>
      <c r="F752" s="6" t="n">
        <v>10300</v>
      </c>
      <c r="G752" s="5" t="n">
        <v>605914237903.74</v>
      </c>
      <c r="H752" s="4" t="n">
        <f aca="false">IFERROR(IF(AND(VLOOKUP($B752,Ref_Acuerdos!$A:$E,2,FALSE())="FTA",$A752&gt;=VLOOKUP($B752,Ref_Acuerdos!$A:$E,3,FALSE())),1,0),0)</f>
        <v>1</v>
      </c>
      <c r="I752" s="4" t="n">
        <f aca="false">IFERROR(IF(AND(VLOOKUP($B752,Ref_Acuerdos!$A:$E,2,FALSE())="PTA",$A752&gt;=VLOOKUP($B752,Ref_Acuerdos!$A:$E,3,FALSE())),1,0),0)</f>
        <v>0</v>
      </c>
      <c r="J752" s="7" t="n">
        <f aca="false">IFERROR(IF($A752&gt;=VLOOKUP($B752,Ref_Acuerdos!$A:$E,3,FALSE()),VLOOKUP($B752,Ref_Acuerdos!$A:$E,4,FALSE()),""),"")</f>
        <v>0</v>
      </c>
      <c r="K752" s="4" t="str">
        <f aca="false">IFERROR(IF($A752&gt;=VLOOKUP($B752,Ref_Acuerdos!$A:$E,3,FALSE()),VLOOKUP($B752,Ref_Acuerdos!$A:$E,5,FALSE()),"Sin FTA/PTA vigente ese año - arancel NMF"),"Sin FTA/PTA identificado - arancel NMF")</f>
        <v>UE-Ecuador Acuerdo Multipartes, vigente desde ene-2017</v>
      </c>
    </row>
    <row r="753" customFormat="false" ht="15" hidden="false" customHeight="false" outlineLevel="0" collapsed="false">
      <c r="A753" s="2" t="n">
        <v>2020</v>
      </c>
      <c r="B753" s="2" t="s">
        <v>89</v>
      </c>
      <c r="C753" s="4" t="str">
        <f aca="false">IFERROR(VLOOKUP($B753,Ref_Continente!$A:$B,2,FALSE()),"Sin clasificar")</f>
        <v>Asia</v>
      </c>
      <c r="D753" s="5" t="n">
        <v>7751</v>
      </c>
      <c r="E753" s="6" t="n">
        <v>1397.1</v>
      </c>
      <c r="F753" s="6" t="n">
        <v>17800</v>
      </c>
      <c r="G753" s="5" t="n">
        <v>361751145451.6</v>
      </c>
      <c r="H753" s="4" t="n">
        <f aca="false">IFERROR(IF(AND(VLOOKUP($B753,Ref_Acuerdos!$A:$E,2,FALSE())="FTA",$A753&gt;=VLOOKUP($B753,Ref_Acuerdos!$A:$E,3,FALSE())),1,0),0)</f>
        <v>0</v>
      </c>
      <c r="I753" s="4" t="n">
        <f aca="false">IFERROR(IF(AND(VLOOKUP($B753,Ref_Acuerdos!$A:$E,2,FALSE())="PTA",$A753&gt;=VLOOKUP($B753,Ref_Acuerdos!$A:$E,3,FALSE())),1,0),0)</f>
        <v>0</v>
      </c>
      <c r="J753" s="7" t="str">
        <f aca="false">IFERROR(IF($A753&gt;=VLOOKUP($B753,Ref_Acuerdos!$A:$E,3,FALSE()),VLOOKUP($B753,Ref_Acuerdos!$A:$E,4,FALSE()),""),"")</f>
        <v/>
      </c>
      <c r="K753" s="4" t="str">
        <f aca="false">IFERROR(IF($A753&gt;=VLOOKUP($B753,Ref_Acuerdos!$A:$E,3,FALSE()),VLOOKUP($B753,Ref_Acuerdos!$A:$E,5,FALSE()),"Sin FTA/PTA vigente ese año - arancel NMF"),"Sin FTA/PTA identificado - arancel NMF")</f>
        <v>Sin FTA/PTA identificado - arancel NMF</v>
      </c>
    </row>
    <row r="754" customFormat="false" ht="15" hidden="false" customHeight="false" outlineLevel="0" collapsed="false">
      <c r="A754" s="2" t="n">
        <v>2020</v>
      </c>
      <c r="B754" s="2" t="s">
        <v>42</v>
      </c>
      <c r="C754" s="4" t="str">
        <f aca="false">IFERROR(VLOOKUP($B754,Ref_Continente!$A:$B,2,FALSE()),"Sin clasificar")</f>
        <v>Europe</v>
      </c>
      <c r="D754" s="5" t="n">
        <v>5682</v>
      </c>
      <c r="E754" s="6" t="n">
        <v>1167.8</v>
      </c>
      <c r="F754" s="6" t="n">
        <v>9150</v>
      </c>
      <c r="G754" s="5" t="n">
        <v>2647926055110.05</v>
      </c>
      <c r="H754" s="4" t="n">
        <f aca="false">IFERROR(IF(AND(VLOOKUP($B754,Ref_Acuerdos!$A:$E,2,FALSE())="FTA",$A754&gt;=VLOOKUP($B754,Ref_Acuerdos!$A:$E,3,FALSE())),1,0),0)</f>
        <v>1</v>
      </c>
      <c r="I754" s="4" t="n">
        <f aca="false">IFERROR(IF(AND(VLOOKUP($B754,Ref_Acuerdos!$A:$E,2,FALSE())="PTA",$A754&gt;=VLOOKUP($B754,Ref_Acuerdos!$A:$E,3,FALSE())),1,0),0)</f>
        <v>0</v>
      </c>
      <c r="J754" s="7" t="n">
        <f aca="false">IFERROR(IF($A754&gt;=VLOOKUP($B754,Ref_Acuerdos!$A:$E,3,FALSE()),VLOOKUP($B754,Ref_Acuerdos!$A:$E,4,FALSE()),""),"")</f>
        <v>0</v>
      </c>
      <c r="K754" s="4" t="str">
        <f aca="false">IFERROR(IF($A754&gt;=VLOOKUP($B754,Ref_Acuerdos!$A:$E,3,FALSE()),VLOOKUP($B754,Ref_Acuerdos!$A:$E,5,FALSE()),"Sin FTA/PTA vigente ese año - arancel NMF"),"Sin FTA/PTA identificado - arancel NMF")</f>
        <v>UE-Ecuador Acuerdo Multipartes, vigente desde ene-2017</v>
      </c>
    </row>
    <row r="755" customFormat="false" ht="15" hidden="false" customHeight="false" outlineLevel="0" collapsed="false">
      <c r="A755" s="2" t="n">
        <v>2020</v>
      </c>
      <c r="B755" s="2" t="s">
        <v>65</v>
      </c>
      <c r="C755" s="4" t="str">
        <f aca="false">IFERROR(VLOOKUP($B755,Ref_Continente!$A:$B,2,FALSE()),"Sin clasificar")</f>
        <v>Asia</v>
      </c>
      <c r="D755" s="5" t="n">
        <v>5159</v>
      </c>
      <c r="E755" s="6" t="n">
        <v>1556.3</v>
      </c>
      <c r="F755" s="6" t="n">
        <v>14300</v>
      </c>
      <c r="G755" s="5"/>
      <c r="H755" s="4" t="n">
        <f aca="false">IFERROR(IF(AND(VLOOKUP($B755,Ref_Acuerdos!$A:$E,2,FALSE())="FTA",$A755&gt;=VLOOKUP($B755,Ref_Acuerdos!$A:$E,3,FALSE())),1,0),0)</f>
        <v>0</v>
      </c>
      <c r="I755" s="4" t="n">
        <f aca="false">IFERROR(IF(AND(VLOOKUP($B755,Ref_Acuerdos!$A:$E,2,FALSE())="PTA",$A755&gt;=VLOOKUP($B755,Ref_Acuerdos!$A:$E,3,FALSE())),1,0),0)</f>
        <v>0</v>
      </c>
      <c r="J755" s="7" t="str">
        <f aca="false">IFERROR(IF($A755&gt;=VLOOKUP($B755,Ref_Acuerdos!$A:$E,3,FALSE()),VLOOKUP($B755,Ref_Acuerdos!$A:$E,4,FALSE()),""),"")</f>
        <v/>
      </c>
      <c r="K755" s="4" t="str">
        <f aca="false">IFERROR(IF($A755&gt;=VLOOKUP($B755,Ref_Acuerdos!$A:$E,3,FALSE()),VLOOKUP($B755,Ref_Acuerdos!$A:$E,5,FALSE()),"Sin FTA/PTA vigente ese año - arancel NMF"),"Sin FTA/PTA identificado - arancel NMF")</f>
        <v>Sin FTA/PTA identificado - arancel NMF</v>
      </c>
    </row>
    <row r="756" customFormat="false" ht="15" hidden="false" customHeight="false" outlineLevel="0" collapsed="false">
      <c r="A756" s="2" t="n">
        <v>2020</v>
      </c>
      <c r="B756" s="2" t="s">
        <v>49</v>
      </c>
      <c r="C756" s="4" t="str">
        <f aca="false">IFERROR(VLOOKUP($B756,Ref_Continente!$A:$B,2,FALSE()),"Sin clasificar")</f>
        <v>South America</v>
      </c>
      <c r="D756" s="5" t="n">
        <v>5059</v>
      </c>
      <c r="E756" s="6" t="n">
        <v>361.9</v>
      </c>
      <c r="F756" s="6" t="n">
        <v>2400</v>
      </c>
      <c r="G756" s="5" t="n">
        <v>5471256594.72</v>
      </c>
      <c r="H756" s="4" t="n">
        <f aca="false">IFERROR(IF(AND(VLOOKUP($B756,Ref_Acuerdos!$A:$E,2,FALSE())="FTA",$A756&gt;=VLOOKUP($B756,Ref_Acuerdos!$A:$E,3,FALSE())),1,0),0)</f>
        <v>0</v>
      </c>
      <c r="I756" s="4" t="n">
        <f aca="false">IFERROR(IF(AND(VLOOKUP($B756,Ref_Acuerdos!$A:$E,2,FALSE())="PTA",$A756&gt;=VLOOKUP($B756,Ref_Acuerdos!$A:$E,3,FALSE())),1,0),0)</f>
        <v>0</v>
      </c>
      <c r="J756" s="7" t="str">
        <f aca="false">IFERROR(IF($A756&gt;=VLOOKUP($B756,Ref_Acuerdos!$A:$E,3,FALSE()),VLOOKUP($B756,Ref_Acuerdos!$A:$E,4,FALSE()),""),"")</f>
        <v/>
      </c>
      <c r="K756" s="4" t="str">
        <f aca="false">IFERROR(IF($A756&gt;=VLOOKUP($B756,Ref_Acuerdos!$A:$E,3,FALSE()),VLOOKUP($B756,Ref_Acuerdos!$A:$E,5,FALSE()),"Sin FTA/PTA vigente ese año - arancel NMF"),"Sin FTA/PTA identificado - arancel NMF")</f>
        <v>Sin FTA/PTA identificado - arancel NMF</v>
      </c>
    </row>
    <row r="757" customFormat="false" ht="15" hidden="false" customHeight="false" outlineLevel="0" collapsed="false">
      <c r="A757" s="2" t="n">
        <v>2020</v>
      </c>
      <c r="B757" s="2" t="s">
        <v>71</v>
      </c>
      <c r="C757" s="4" t="str">
        <f aca="false">IFERROR(VLOOKUP($B757,Ref_Continente!$A:$B,2,FALSE()),"Sin clasificar")</f>
        <v>Asia</v>
      </c>
      <c r="D757" s="5" t="n">
        <v>4461</v>
      </c>
      <c r="E757" s="6" t="n">
        <v>2257.3</v>
      </c>
      <c r="F757" s="6" t="n">
        <v>17100</v>
      </c>
      <c r="G757" s="5" t="n">
        <v>3712604583.37</v>
      </c>
      <c r="H757" s="4" t="n">
        <f aca="false">IFERROR(IF(AND(VLOOKUP($B757,Ref_Acuerdos!$A:$E,2,FALSE())="FTA",$A757&gt;=VLOOKUP($B757,Ref_Acuerdos!$A:$E,3,FALSE())),1,0),0)</f>
        <v>0</v>
      </c>
      <c r="I757" s="4" t="n">
        <f aca="false">IFERROR(IF(AND(VLOOKUP($B757,Ref_Acuerdos!$A:$E,2,FALSE())="PTA",$A757&gt;=VLOOKUP($B757,Ref_Acuerdos!$A:$E,3,FALSE())),1,0),0)</f>
        <v>0</v>
      </c>
      <c r="J757" s="7" t="str">
        <f aca="false">IFERROR(IF($A757&gt;=VLOOKUP($B757,Ref_Acuerdos!$A:$E,3,FALSE()),VLOOKUP($B757,Ref_Acuerdos!$A:$E,4,FALSE()),""),"")</f>
        <v/>
      </c>
      <c r="K757" s="4" t="str">
        <f aca="false">IFERROR(IF($A757&gt;=VLOOKUP($B757,Ref_Acuerdos!$A:$E,3,FALSE()),VLOOKUP($B757,Ref_Acuerdos!$A:$E,5,FALSE()),"Sin FTA/PTA vigente ese año - arancel NMF"),"Sin FTA/PTA identificado - arancel NMF")</f>
        <v>Sin FTA/PTA identificado - arancel NMF</v>
      </c>
    </row>
    <row r="758" customFormat="false" ht="15" hidden="false" customHeight="false" outlineLevel="0" collapsed="false">
      <c r="A758" s="2" t="n">
        <v>2020</v>
      </c>
      <c r="B758" s="2" t="s">
        <v>100</v>
      </c>
      <c r="C758" s="4" t="str">
        <f aca="false">IFERROR(VLOOKUP($B758,Ref_Continente!$A:$B,2,FALSE()),"Sin clasificar")</f>
        <v>Asia</v>
      </c>
      <c r="D758" s="5" t="n">
        <v>2976</v>
      </c>
      <c r="E758" s="6" t="n">
        <v>771.1</v>
      </c>
      <c r="F758" s="6" t="n">
        <v>13800</v>
      </c>
      <c r="G758" s="5" t="n">
        <v>767951200000</v>
      </c>
      <c r="H758" s="4" t="n">
        <f aca="false">IFERROR(IF(AND(VLOOKUP($B758,Ref_Acuerdos!$A:$E,2,FALSE())="FTA",$A758&gt;=VLOOKUP($B758,Ref_Acuerdos!$A:$E,3,FALSE())),1,0),0)</f>
        <v>0</v>
      </c>
      <c r="I758" s="4" t="n">
        <f aca="false">IFERROR(IF(AND(VLOOKUP($B758,Ref_Acuerdos!$A:$E,2,FALSE())="PTA",$A758&gt;=VLOOKUP($B758,Ref_Acuerdos!$A:$E,3,FALSE())),1,0),0)</f>
        <v>0</v>
      </c>
      <c r="J758" s="7" t="str">
        <f aca="false">IFERROR(IF($A758&gt;=VLOOKUP($B758,Ref_Acuerdos!$A:$E,3,FALSE()),VLOOKUP($B758,Ref_Acuerdos!$A:$E,4,FALSE()),""),"")</f>
        <v/>
      </c>
      <c r="K758" s="4" t="str">
        <f aca="false">IFERROR(IF($A758&gt;=VLOOKUP($B758,Ref_Acuerdos!$A:$E,3,FALSE()),VLOOKUP($B758,Ref_Acuerdos!$A:$E,5,FALSE()),"Sin FTA/PTA vigente ese año - arancel NMF"),"Sin FTA/PTA identificado - arancel NMF")</f>
        <v>Sin FTA/PTA identificado - arancel NMF</v>
      </c>
    </row>
    <row r="759" customFormat="false" ht="15" hidden="false" customHeight="false" outlineLevel="0" collapsed="false">
      <c r="A759" s="2" t="n">
        <v>2020</v>
      </c>
      <c r="B759" s="2" t="s">
        <v>116</v>
      </c>
      <c r="C759" s="4" t="str">
        <f aca="false">IFERROR(VLOOKUP($B759,Ref_Continente!$A:$B,2,FALSE()),"Sin clasificar")</f>
        <v>Asia</v>
      </c>
      <c r="D759" s="5" t="n">
        <v>2620</v>
      </c>
      <c r="E759" s="6" t="n">
        <v>616</v>
      </c>
      <c r="F759" s="6" t="n">
        <v>14200</v>
      </c>
      <c r="G759" s="5" t="n">
        <v>357161878829.14</v>
      </c>
      <c r="H759" s="4" t="n">
        <f aca="false">IFERROR(IF(AND(VLOOKUP($B759,Ref_Acuerdos!$A:$E,2,FALSE())="FTA",$A759&gt;=VLOOKUP($B759,Ref_Acuerdos!$A:$E,3,FALSE())),1,0),0)</f>
        <v>0</v>
      </c>
      <c r="I759" s="4" t="n">
        <f aca="false">IFERROR(IF(AND(VLOOKUP($B759,Ref_Acuerdos!$A:$E,2,FALSE())="PTA",$A759&gt;=VLOOKUP($B759,Ref_Acuerdos!$A:$E,3,FALSE())),1,0),0)</f>
        <v>0</v>
      </c>
      <c r="J759" s="7" t="str">
        <f aca="false">IFERROR(IF($A759&gt;=VLOOKUP($B759,Ref_Acuerdos!$A:$E,3,FALSE()),VLOOKUP($B759,Ref_Acuerdos!$A:$E,4,FALSE()),""),"")</f>
        <v/>
      </c>
      <c r="K759" s="4" t="str">
        <f aca="false">IFERROR(IF($A759&gt;=VLOOKUP($B759,Ref_Acuerdos!$A:$E,3,FALSE()),VLOOKUP($B759,Ref_Acuerdos!$A:$E,5,FALSE()),"Sin FTA/PTA vigente ese año - arancel NMF"),"Sin FTA/PTA identificado - arancel NMF")</f>
        <v>Sin FTA/PTA identificado - arancel NMF</v>
      </c>
    </row>
    <row r="760" customFormat="false" ht="15" hidden="false" customHeight="false" outlineLevel="0" collapsed="false">
      <c r="A760" s="2" t="n">
        <v>2020</v>
      </c>
      <c r="B760" s="2" t="s">
        <v>97</v>
      </c>
      <c r="C760" s="4" t="str">
        <f aca="false">IFERROR(VLOOKUP($B760,Ref_Continente!$A:$B,2,FALSE()),"Sin clasificar")</f>
        <v>North America</v>
      </c>
      <c r="D760" s="5" t="n">
        <v>2266</v>
      </c>
      <c r="E760" s="6" t="n">
        <v>603</v>
      </c>
      <c r="F760" s="6" t="n">
        <v>2900</v>
      </c>
      <c r="G760" s="5"/>
      <c r="H760" s="4" t="n">
        <f aca="false">IFERROR(IF(AND(VLOOKUP($B760,Ref_Acuerdos!$A:$E,2,FALSE())="FTA",$A760&gt;=VLOOKUP($B760,Ref_Acuerdos!$A:$E,3,FALSE())),1,0),0)</f>
        <v>0</v>
      </c>
      <c r="I760" s="4" t="n">
        <f aca="false">IFERROR(IF(AND(VLOOKUP($B760,Ref_Acuerdos!$A:$E,2,FALSE())="PTA",$A760&gt;=VLOOKUP($B760,Ref_Acuerdos!$A:$E,3,FALSE())),1,0),0)</f>
        <v>0</v>
      </c>
      <c r="J760" s="7" t="str">
        <f aca="false">IFERROR(IF($A760&gt;=VLOOKUP($B760,Ref_Acuerdos!$A:$E,3,FALSE()),VLOOKUP($B760,Ref_Acuerdos!$A:$E,4,FALSE()),""),"")</f>
        <v/>
      </c>
      <c r="K760" s="4" t="str">
        <f aca="false">IFERROR(IF($A760&gt;=VLOOKUP($B760,Ref_Acuerdos!$A:$E,3,FALSE()),VLOOKUP($B760,Ref_Acuerdos!$A:$E,5,FALSE()),"Sin FTA/PTA vigente ese año - arancel NMF"),"Sin FTA/PTA identificado - arancel NMF")</f>
        <v>Sin FTA/PTA identificado - arancel NMF</v>
      </c>
    </row>
    <row r="761" customFormat="false" ht="15" hidden="false" customHeight="false" outlineLevel="0" collapsed="false">
      <c r="A761" s="2" t="n">
        <v>2020</v>
      </c>
      <c r="B761" s="2" t="s">
        <v>51</v>
      </c>
      <c r="C761" s="4" t="str">
        <f aca="false">IFERROR(VLOOKUP($B761,Ref_Continente!$A:$B,2,FALSE()),"Sin clasificar")</f>
        <v>North America</v>
      </c>
      <c r="D761" s="5" t="n">
        <v>2121</v>
      </c>
      <c r="E761" s="6" t="n">
        <v>548.9</v>
      </c>
      <c r="F761" s="6" t="n">
        <v>1800</v>
      </c>
      <c r="G761" s="5" t="n">
        <v>23352232483.76</v>
      </c>
      <c r="H761" s="4" t="n">
        <f aca="false">IFERROR(IF(AND(VLOOKUP($B761,Ref_Acuerdos!$A:$E,2,FALSE())="FTA",$A761&gt;=VLOOKUP($B761,Ref_Acuerdos!$A:$E,3,FALSE())),1,0),0)</f>
        <v>0</v>
      </c>
      <c r="I761" s="4" t="n">
        <f aca="false">IFERROR(IF(AND(VLOOKUP($B761,Ref_Acuerdos!$A:$E,2,FALSE())="PTA",$A761&gt;=VLOOKUP($B761,Ref_Acuerdos!$A:$E,3,FALSE())),1,0),0)</f>
        <v>0</v>
      </c>
      <c r="J761" s="7" t="str">
        <f aca="false">IFERROR(IF($A761&gt;=VLOOKUP($B761,Ref_Acuerdos!$A:$E,3,FALSE()),VLOOKUP($B761,Ref_Acuerdos!$A:$E,4,FALSE()),""),"")</f>
        <v/>
      </c>
      <c r="K761" s="4" t="str">
        <f aca="false">IFERROR(IF($A761&gt;=VLOOKUP($B761,Ref_Acuerdos!$A:$E,3,FALSE()),VLOOKUP($B761,Ref_Acuerdos!$A:$E,5,FALSE()),"Sin FTA/PTA vigente ese año - arancel NMF"),"Sin FTA/PTA identificado - arancel NMF")</f>
        <v>Sin FTA/PTA identificado - arancel NMF</v>
      </c>
    </row>
    <row r="762" customFormat="false" ht="15" hidden="false" customHeight="false" outlineLevel="0" collapsed="false">
      <c r="A762" s="2" t="n">
        <v>2020</v>
      </c>
      <c r="B762" s="2" t="s">
        <v>102</v>
      </c>
      <c r="C762" s="4" t="str">
        <f aca="false">IFERROR(VLOOKUP($B762,Ref_Continente!$A:$B,2,FALSE()),"Sin clasificar")</f>
        <v>Asia</v>
      </c>
      <c r="D762" s="5" t="n">
        <v>2098</v>
      </c>
      <c r="E762" s="6" t="n">
        <v>277</v>
      </c>
      <c r="F762" s="6" t="n">
        <v>18800</v>
      </c>
      <c r="G762" s="5" t="n">
        <v>349165858544.57</v>
      </c>
      <c r="H762" s="4" t="n">
        <f aca="false">IFERROR(IF(AND(VLOOKUP($B762,Ref_Acuerdos!$A:$E,2,FALSE())="FTA",$A762&gt;=VLOOKUP($B762,Ref_Acuerdos!$A:$E,3,FALSE())),1,0),0)</f>
        <v>0</v>
      </c>
      <c r="I762" s="4" t="n">
        <f aca="false">IFERROR(IF(AND(VLOOKUP($B762,Ref_Acuerdos!$A:$E,2,FALSE())="PTA",$A762&gt;=VLOOKUP($B762,Ref_Acuerdos!$A:$E,3,FALSE())),1,0),0)</f>
        <v>0</v>
      </c>
      <c r="J762" s="7" t="str">
        <f aca="false">IFERROR(IF($A762&gt;=VLOOKUP($B762,Ref_Acuerdos!$A:$E,3,FALSE()),VLOOKUP($B762,Ref_Acuerdos!$A:$E,4,FALSE()),""),"")</f>
        <v/>
      </c>
      <c r="K762" s="4" t="str">
        <f aca="false">IFERROR(IF($A762&gt;=VLOOKUP($B762,Ref_Acuerdos!$A:$E,3,FALSE()),VLOOKUP($B762,Ref_Acuerdos!$A:$E,5,FALSE()),"Sin FTA/PTA vigente ese año - arancel NMF"),"Sin FTA/PTA identificado - arancel NMF")</f>
        <v>Sin FTA/PTA identificado - arancel NMF</v>
      </c>
    </row>
    <row r="763" customFormat="false" ht="15" hidden="false" customHeight="false" outlineLevel="0" collapsed="false">
      <c r="A763" s="2" t="n">
        <v>2020</v>
      </c>
      <c r="B763" s="2" t="s">
        <v>48</v>
      </c>
      <c r="C763" s="4" t="str">
        <f aca="false">IFERROR(VLOOKUP($B763,Ref_Continente!$A:$B,2,FALSE()),"Sin clasificar")</f>
        <v>North America</v>
      </c>
      <c r="D763" s="5" t="n">
        <v>2000</v>
      </c>
      <c r="E763" s="6" t="n">
        <v>900</v>
      </c>
      <c r="F763" s="6" t="n">
        <v>2000</v>
      </c>
      <c r="G763" s="5" t="n">
        <v>77719468248.37</v>
      </c>
      <c r="H763" s="4" t="n">
        <f aca="false">IFERROR(IF(AND(VLOOKUP($B763,Ref_Acuerdos!$A:$E,2,FALSE())="FTA",$A763&gt;=VLOOKUP($B763,Ref_Acuerdos!$A:$E,3,FALSE())),1,0),0)</f>
        <v>0</v>
      </c>
      <c r="I763" s="4" t="n">
        <f aca="false">IFERROR(IF(AND(VLOOKUP($B763,Ref_Acuerdos!$A:$E,2,FALSE())="PTA",$A763&gt;=VLOOKUP($B763,Ref_Acuerdos!$A:$E,3,FALSE())),1,0),0)</f>
        <v>1</v>
      </c>
      <c r="J763" s="7" t="n">
        <f aca="false">IFERROR(IF($A763&gt;=VLOOKUP($B763,Ref_Acuerdos!$A:$E,3,FALSE()),VLOOKUP($B763,Ref_Acuerdos!$A:$E,4,FALSE()),""),"")</f>
        <v>10</v>
      </c>
      <c r="K763" s="4" t="str">
        <f aca="false">IFERROR(IF($A763&gt;=VLOOKUP($B763,Ref_Acuerdos!$A:$E,3,FALSE()),VLOOKUP($B763,Ref_Acuerdos!$A:$E,5,FALSE()),"Sin FTA/PTA vigente ese año - arancel NMF"),"Sin FTA/PTA identificado - arancel NMF")</f>
        <v>ALADI - Acuerdo de Alcance Parcial (preferencia limitada, tarifa referencial)</v>
      </c>
    </row>
    <row r="764" customFormat="false" ht="15" hidden="false" customHeight="false" outlineLevel="0" collapsed="false">
      <c r="A764" s="2" t="n">
        <v>2020</v>
      </c>
      <c r="B764" s="2" t="s">
        <v>120</v>
      </c>
      <c r="C764" s="4" t="str">
        <f aca="false">IFERROR(VLOOKUP($B764,Ref_Continente!$A:$B,2,FALSE()),"Sin clasificar")</f>
        <v>Asia</v>
      </c>
      <c r="D764" s="5" t="n">
        <v>1982</v>
      </c>
      <c r="E764" s="6" t="n">
        <v>461.8</v>
      </c>
      <c r="F764" s="6" t="n">
        <v>17600</v>
      </c>
      <c r="G764" s="5" t="n">
        <v>346615738537.8</v>
      </c>
      <c r="H764" s="4" t="n">
        <f aca="false">IFERROR(IF(AND(VLOOKUP($B764,Ref_Acuerdos!$A:$E,2,FALSE())="FTA",$A764&gt;=VLOOKUP($B764,Ref_Acuerdos!$A:$E,3,FALSE())),1,0),0)</f>
        <v>0</v>
      </c>
      <c r="I764" s="4" t="n">
        <f aca="false">IFERROR(IF(AND(VLOOKUP($B764,Ref_Acuerdos!$A:$E,2,FALSE())="PTA",$A764&gt;=VLOOKUP($B764,Ref_Acuerdos!$A:$E,3,FALSE())),1,0),0)</f>
        <v>0</v>
      </c>
      <c r="J764" s="7" t="str">
        <f aca="false">IFERROR(IF($A764&gt;=VLOOKUP($B764,Ref_Acuerdos!$A:$E,3,FALSE()),VLOOKUP($B764,Ref_Acuerdos!$A:$E,4,FALSE()),""),"")</f>
        <v/>
      </c>
      <c r="K764" s="4" t="str">
        <f aca="false">IFERROR(IF($A764&gt;=VLOOKUP($B764,Ref_Acuerdos!$A:$E,3,FALSE()),VLOOKUP($B764,Ref_Acuerdos!$A:$E,5,FALSE()),"Sin FTA/PTA vigente ese año - arancel NMF"),"Sin FTA/PTA identificado - arancel NMF")</f>
        <v>Sin FTA/PTA identificado - arancel NMF</v>
      </c>
    </row>
    <row r="765" customFormat="false" ht="15" hidden="false" customHeight="false" outlineLevel="0" collapsed="false">
      <c r="A765" s="2" t="n">
        <v>2020</v>
      </c>
      <c r="B765" s="2" t="s">
        <v>44</v>
      </c>
      <c r="C765" s="4" t="str">
        <f aca="false">IFERROR(VLOOKUP($B765,Ref_Continente!$A:$B,2,FALSE()),"Sin clasificar")</f>
        <v>Asia</v>
      </c>
      <c r="D765" s="5" t="n">
        <v>1854</v>
      </c>
      <c r="E765" s="6" t="n">
        <v>1170.4</v>
      </c>
      <c r="F765" s="6" t="n">
        <v>11600</v>
      </c>
      <c r="G765" s="5" t="n">
        <v>16010869215.68</v>
      </c>
      <c r="H765" s="4" t="n">
        <f aca="false">IFERROR(IF(AND(VLOOKUP($B765,Ref_Acuerdos!$A:$E,2,FALSE())="FTA",$A765&gt;=VLOOKUP($B765,Ref_Acuerdos!$A:$E,3,FALSE())),1,0),0)</f>
        <v>0</v>
      </c>
      <c r="I765" s="4" t="n">
        <f aca="false">IFERROR(IF(AND(VLOOKUP($B765,Ref_Acuerdos!$A:$E,2,FALSE())="PTA",$A765&gt;=VLOOKUP($B765,Ref_Acuerdos!$A:$E,3,FALSE())),1,0),0)</f>
        <v>0</v>
      </c>
      <c r="J765" s="7" t="str">
        <f aca="false">IFERROR(IF($A765&gt;=VLOOKUP($B765,Ref_Acuerdos!$A:$E,3,FALSE()),VLOOKUP($B765,Ref_Acuerdos!$A:$E,4,FALSE()),""),"")</f>
        <v/>
      </c>
      <c r="K765" s="4" t="str">
        <f aca="false">IFERROR(IF($A765&gt;=VLOOKUP($B765,Ref_Acuerdos!$A:$E,3,FALSE()),VLOOKUP($B765,Ref_Acuerdos!$A:$E,5,FALSE()),"Sin FTA/PTA vigente ese año - arancel NMF"),"Sin FTA/PTA identificado - arancel NMF")</f>
        <v>Sin FTA/PTA identificado - arancel NMF</v>
      </c>
    </row>
    <row r="766" customFormat="false" ht="15" hidden="false" customHeight="false" outlineLevel="0" collapsed="false">
      <c r="A766" s="2" t="n">
        <v>2020</v>
      </c>
      <c r="B766" s="2" t="s">
        <v>16</v>
      </c>
      <c r="C766" s="4" t="str">
        <f aca="false">IFERROR(VLOOKUP($B766,Ref_Continente!$A:$B,2,FALSE()),"Sin clasificar")</f>
        <v>Asia</v>
      </c>
      <c r="D766" s="5" t="n">
        <v>1500</v>
      </c>
      <c r="E766" s="6" t="n">
        <v>1</v>
      </c>
      <c r="F766" s="6" t="n">
        <v>13100</v>
      </c>
      <c r="G766" s="5" t="n">
        <v>42693000000</v>
      </c>
      <c r="H766" s="4" t="n">
        <f aca="false">IFERROR(IF(AND(VLOOKUP($B766,Ref_Acuerdos!$A:$E,2,FALSE())="FTA",$A766&gt;=VLOOKUP($B766,Ref_Acuerdos!$A:$E,3,FALSE())),1,0),0)</f>
        <v>0</v>
      </c>
      <c r="I766" s="4" t="n">
        <f aca="false">IFERROR(IF(AND(VLOOKUP($B766,Ref_Acuerdos!$A:$E,2,FALSE())="PTA",$A766&gt;=VLOOKUP($B766,Ref_Acuerdos!$A:$E,3,FALSE())),1,0),0)</f>
        <v>0</v>
      </c>
      <c r="J766" s="7" t="str">
        <f aca="false">IFERROR(IF($A766&gt;=VLOOKUP($B766,Ref_Acuerdos!$A:$E,3,FALSE()),VLOOKUP($B766,Ref_Acuerdos!$A:$E,4,FALSE()),""),"")</f>
        <v/>
      </c>
      <c r="K766" s="4" t="str">
        <f aca="false">IFERROR(IF($A766&gt;=VLOOKUP($B766,Ref_Acuerdos!$A:$E,3,FALSE()),VLOOKUP($B766,Ref_Acuerdos!$A:$E,5,FALSE()),"Sin FTA/PTA vigente ese año - arancel NMF"),"Sin FTA/PTA identificado - arancel NMF")</f>
        <v>Sin FTA/PTA identificado - arancel NMF</v>
      </c>
    </row>
    <row r="767" customFormat="false" ht="15" hidden="false" customHeight="false" outlineLevel="0" collapsed="false">
      <c r="A767" s="2" t="n">
        <v>2020</v>
      </c>
      <c r="B767" s="2" t="s">
        <v>18</v>
      </c>
      <c r="C767" s="4" t="str">
        <f aca="false">IFERROR(VLOOKUP($B767,Ref_Continente!$A:$B,2,FALSE()),"Sin clasificar")</f>
        <v>Asia</v>
      </c>
      <c r="D767" s="5" t="n">
        <v>901</v>
      </c>
      <c r="E767" s="6" t="n">
        <v>199</v>
      </c>
      <c r="F767" s="6" t="n">
        <v>13800</v>
      </c>
      <c r="G767" s="5" t="n">
        <v>35837632978.72</v>
      </c>
      <c r="H767" s="4" t="n">
        <f aca="false">IFERROR(IF(AND(VLOOKUP($B767,Ref_Acuerdos!$A:$E,2,FALSE())="FTA",$A767&gt;=VLOOKUP($B767,Ref_Acuerdos!$A:$E,3,FALSE())),1,0),0)</f>
        <v>0</v>
      </c>
      <c r="I767" s="4" t="n">
        <f aca="false">IFERROR(IF(AND(VLOOKUP($B767,Ref_Acuerdos!$A:$E,2,FALSE())="PTA",$A767&gt;=VLOOKUP($B767,Ref_Acuerdos!$A:$E,3,FALSE())),1,0),0)</f>
        <v>0</v>
      </c>
      <c r="J767" s="7" t="str">
        <f aca="false">IFERROR(IF($A767&gt;=VLOOKUP($B767,Ref_Acuerdos!$A:$E,3,FALSE()),VLOOKUP($B767,Ref_Acuerdos!$A:$E,4,FALSE()),""),"")</f>
        <v/>
      </c>
      <c r="K767" s="4" t="str">
        <f aca="false">IFERROR(IF($A767&gt;=VLOOKUP($B767,Ref_Acuerdos!$A:$E,3,FALSE()),VLOOKUP($B767,Ref_Acuerdos!$A:$E,5,FALSE()),"Sin FTA/PTA vigente ese año - arancel NMF"),"Sin FTA/PTA identificado - arancel NMF")</f>
        <v>Sin FTA/PTA identificado - arancel NMF</v>
      </c>
    </row>
    <row r="768" customFormat="false" ht="15" hidden="false" customHeight="false" outlineLevel="0" collapsed="false">
      <c r="A768" s="2" t="n">
        <v>2020</v>
      </c>
      <c r="B768" s="2" t="s">
        <v>40</v>
      </c>
      <c r="C768" s="4" t="str">
        <f aca="false">IFERROR(VLOOKUP($B768,Ref_Continente!$A:$B,2,FALSE()),"Sin clasificar")</f>
        <v>Europe</v>
      </c>
      <c r="D768" s="5" t="n">
        <v>862</v>
      </c>
      <c r="E768" s="6" t="n">
        <v>398</v>
      </c>
      <c r="F768" s="6" t="n">
        <v>10400</v>
      </c>
      <c r="G768" s="5" t="n">
        <v>31820771493.9</v>
      </c>
      <c r="H768" s="4" t="n">
        <f aca="false">IFERROR(IF(AND(VLOOKUP($B768,Ref_Acuerdos!$A:$E,2,FALSE())="FTA",$A768&gt;=VLOOKUP($B768,Ref_Acuerdos!$A:$E,3,FALSE())),1,0),0)</f>
        <v>1</v>
      </c>
      <c r="I768" s="4" t="n">
        <f aca="false">IFERROR(IF(AND(VLOOKUP($B768,Ref_Acuerdos!$A:$E,2,FALSE())="PTA",$A768&gt;=VLOOKUP($B768,Ref_Acuerdos!$A:$E,3,FALSE())),1,0),0)</f>
        <v>0</v>
      </c>
      <c r="J768" s="7" t="n">
        <f aca="false">IFERROR(IF($A768&gt;=VLOOKUP($B768,Ref_Acuerdos!$A:$E,3,FALSE()),VLOOKUP($B768,Ref_Acuerdos!$A:$E,4,FALSE()),""),"")</f>
        <v>0</v>
      </c>
      <c r="K768" s="4" t="str">
        <f aca="false">IFERROR(IF($A768&gt;=VLOOKUP($B768,Ref_Acuerdos!$A:$E,3,FALSE()),VLOOKUP($B768,Ref_Acuerdos!$A:$E,5,FALSE()),"Sin FTA/PTA vigente ese año - arancel NMF"),"Sin FTA/PTA identificado - arancel NMF")</f>
        <v>UE-Ecuador Acuerdo Multipartes, vigente desde ene-2017</v>
      </c>
    </row>
    <row r="769" customFormat="false" ht="15" hidden="false" customHeight="false" outlineLevel="0" collapsed="false">
      <c r="A769" s="2" t="n">
        <v>2020</v>
      </c>
      <c r="B769" s="2" t="s">
        <v>27</v>
      </c>
      <c r="C769" s="4" t="str">
        <f aca="false">IFERROR(VLOOKUP($B769,Ref_Continente!$A:$B,2,FALSE()),"Sin clasificar")</f>
        <v>Asia</v>
      </c>
      <c r="D769" s="5" t="n">
        <v>823</v>
      </c>
      <c r="E769" s="6" t="n">
        <v>234</v>
      </c>
      <c r="F769" s="6" t="n">
        <v>17000</v>
      </c>
      <c r="G769" s="5" t="n">
        <v>14996414166715.1</v>
      </c>
      <c r="H769" s="4" t="n">
        <f aca="false">IFERROR(IF(AND(VLOOKUP($B769,Ref_Acuerdos!$A:$E,2,FALSE())="FTA",$A769&gt;=VLOOKUP($B769,Ref_Acuerdos!$A:$E,3,FALSE())),1,0),0)</f>
        <v>0</v>
      </c>
      <c r="I769" s="4" t="n">
        <f aca="false">IFERROR(IF(AND(VLOOKUP($B769,Ref_Acuerdos!$A:$E,2,FALSE())="PTA",$A769&gt;=VLOOKUP($B769,Ref_Acuerdos!$A:$E,3,FALSE())),1,0),0)</f>
        <v>0</v>
      </c>
      <c r="J769" s="7" t="str">
        <f aca="false">IFERROR(IF($A769&gt;=VLOOKUP($B769,Ref_Acuerdos!$A:$E,3,FALSE()),VLOOKUP($B769,Ref_Acuerdos!$A:$E,4,FALSE()),""),"")</f>
        <v/>
      </c>
      <c r="K769" s="4" t="str">
        <f aca="false">IFERROR(IF($A769&gt;=VLOOKUP($B769,Ref_Acuerdos!$A:$E,3,FALSE()),VLOOKUP($B769,Ref_Acuerdos!$A:$E,5,FALSE()),"Sin FTA/PTA vigente ese año - arancel NMF"),"Sin FTA/PTA identificado - arancel NMF")</f>
        <v>Sin FTA/PTA vigente ese año - arancel NMF</v>
      </c>
    </row>
    <row r="770" customFormat="false" ht="15" hidden="false" customHeight="false" outlineLevel="0" collapsed="false">
      <c r="A770" s="2" t="n">
        <v>2020</v>
      </c>
      <c r="B770" s="2" t="s">
        <v>93</v>
      </c>
      <c r="C770" s="4" t="str">
        <f aca="false">IFERROR(VLOOKUP($B770,Ref_Continente!$A:$B,2,FALSE()),"Sin clasificar")</f>
        <v>Asia</v>
      </c>
      <c r="D770" s="5" t="n">
        <v>552</v>
      </c>
      <c r="E770" s="6" t="n">
        <v>161</v>
      </c>
      <c r="F770" s="6" t="n">
        <v>15250</v>
      </c>
      <c r="G770" s="5" t="n">
        <v>1744070276373.34</v>
      </c>
      <c r="H770" s="4" t="n">
        <f aca="false">IFERROR(IF(AND(VLOOKUP($B770,Ref_Acuerdos!$A:$E,2,FALSE())="FTA",$A770&gt;=VLOOKUP($B770,Ref_Acuerdos!$A:$E,3,FALSE())),1,0),0)</f>
        <v>0</v>
      </c>
      <c r="I770" s="4" t="n">
        <f aca="false">IFERROR(IF(AND(VLOOKUP($B770,Ref_Acuerdos!$A:$E,2,FALSE())="PTA",$A770&gt;=VLOOKUP($B770,Ref_Acuerdos!$A:$E,3,FALSE())),1,0),0)</f>
        <v>0</v>
      </c>
      <c r="J770" s="7" t="str">
        <f aca="false">IFERROR(IF($A770&gt;=VLOOKUP($B770,Ref_Acuerdos!$A:$E,3,FALSE()),VLOOKUP($B770,Ref_Acuerdos!$A:$E,4,FALSE()),""),"")</f>
        <v/>
      </c>
      <c r="K770" s="4" t="str">
        <f aca="false">IFERROR(IF($A770&gt;=VLOOKUP($B770,Ref_Acuerdos!$A:$E,3,FALSE()),VLOOKUP($B770,Ref_Acuerdos!$A:$E,5,FALSE()),"Sin FTA/PTA vigente ese año - arancel NMF"),"Sin FTA/PTA identificado - arancel NMF")</f>
        <v>Sin FTA/PTA identificado - arancel NMF</v>
      </c>
    </row>
    <row r="771" customFormat="false" ht="15" hidden="false" customHeight="false" outlineLevel="0" collapsed="false">
      <c r="A771" s="2" t="n">
        <v>2020</v>
      </c>
      <c r="B771" s="2" t="s">
        <v>29</v>
      </c>
      <c r="C771" s="4" t="str">
        <f aca="false">IFERROR(VLOOKUP($B771,Ref_Continente!$A:$B,2,FALSE()),"Sin clasificar")</f>
        <v>South America</v>
      </c>
      <c r="D771" s="5" t="n">
        <v>513</v>
      </c>
      <c r="E771" s="6" t="n">
        <v>145</v>
      </c>
      <c r="F771" s="6" t="n">
        <v>720</v>
      </c>
      <c r="G771" s="5" t="n">
        <v>270348342541.47</v>
      </c>
      <c r="H771" s="4" t="n">
        <f aca="false">IFERROR(IF(AND(VLOOKUP($B771,Ref_Acuerdos!$A:$E,2,FALSE())="FTA",$A771&gt;=VLOOKUP($B771,Ref_Acuerdos!$A:$E,3,FALSE())),1,0),0)</f>
        <v>0</v>
      </c>
      <c r="I771" s="4" t="n">
        <f aca="false">IFERROR(IF(AND(VLOOKUP($B771,Ref_Acuerdos!$A:$E,2,FALSE())="PTA",$A771&gt;=VLOOKUP($B771,Ref_Acuerdos!$A:$E,3,FALSE())),1,0),0)</f>
        <v>1</v>
      </c>
      <c r="J771" s="7" t="n">
        <f aca="false">IFERROR(IF($A771&gt;=VLOOKUP($B771,Ref_Acuerdos!$A:$E,3,FALSE()),VLOOKUP($B771,Ref_Acuerdos!$A:$E,4,FALSE()),""),"")</f>
        <v>0</v>
      </c>
      <c r="K771" s="4" t="str">
        <f aca="false">IFERROR(IF($A771&gt;=VLOOKUP($B771,Ref_Acuerdos!$A:$E,3,FALSE()),VLOOKUP($B771,Ref_Acuerdos!$A:$E,5,FALSE()),"Sin FTA/PTA vigente ese año - arancel NMF"),"Sin FTA/PTA identificado - arancel NMF")</f>
        <v>Comunidad Andina (CAN) - libre comercio intracomunitario</v>
      </c>
    </row>
    <row r="772" customFormat="false" ht="15" hidden="false" customHeight="false" outlineLevel="0" collapsed="false">
      <c r="A772" s="2" t="n">
        <v>2020</v>
      </c>
      <c r="B772" s="2" t="s">
        <v>10</v>
      </c>
      <c r="C772" s="4" t="str">
        <f aca="false">IFERROR(VLOOKUP($B772,Ref_Continente!$A:$B,2,FALSE()),"Sin clasificar")</f>
        <v>North America</v>
      </c>
      <c r="D772" s="5" t="n">
        <v>500</v>
      </c>
      <c r="E772" s="6" t="n">
        <v>300</v>
      </c>
      <c r="F772" s="6" t="n">
        <v>2100</v>
      </c>
      <c r="G772" s="5" t="n">
        <v>2471419181.72</v>
      </c>
      <c r="H772" s="4" t="n">
        <f aca="false">IFERROR(IF(AND(VLOOKUP($B772,Ref_Acuerdos!$A:$E,2,FALSE())="FTA",$A772&gt;=VLOOKUP($B772,Ref_Acuerdos!$A:$E,3,FALSE())),1,0),0)</f>
        <v>0</v>
      </c>
      <c r="I772" s="4" t="n">
        <f aca="false">IFERROR(IF(AND(VLOOKUP($B772,Ref_Acuerdos!$A:$E,2,FALSE())="PTA",$A772&gt;=VLOOKUP($B772,Ref_Acuerdos!$A:$E,3,FALSE())),1,0),0)</f>
        <v>0</v>
      </c>
      <c r="J772" s="7" t="str">
        <f aca="false">IFERROR(IF($A772&gt;=VLOOKUP($B772,Ref_Acuerdos!$A:$E,3,FALSE()),VLOOKUP($B772,Ref_Acuerdos!$A:$E,4,FALSE()),""),"")</f>
        <v/>
      </c>
      <c r="K772" s="4" t="str">
        <f aca="false">IFERROR(IF($A772&gt;=VLOOKUP($B772,Ref_Acuerdos!$A:$E,3,FALSE()),VLOOKUP($B772,Ref_Acuerdos!$A:$E,5,FALSE()),"Sin FTA/PTA vigente ese año - arancel NMF"),"Sin FTA/PTA identificado - arancel NMF")</f>
        <v>Sin FTA/PTA identificado - arancel NMF</v>
      </c>
    </row>
    <row r="773" customFormat="false" ht="15" hidden="false" customHeight="false" outlineLevel="0" collapsed="false">
      <c r="A773" s="2" t="n">
        <v>2020</v>
      </c>
      <c r="B773" s="2" t="s">
        <v>33</v>
      </c>
      <c r="C773" s="4" t="str">
        <f aca="false">IFERROR(VLOOKUP($B773,Ref_Continente!$A:$B,2,FALSE()),"Sin clasificar")</f>
        <v>North America</v>
      </c>
      <c r="D773" s="5" t="n">
        <v>466</v>
      </c>
      <c r="E773" s="6" t="n">
        <v>72</v>
      </c>
      <c r="F773" s="6" t="n">
        <v>2100</v>
      </c>
      <c r="G773" s="5"/>
      <c r="H773" s="4" t="n">
        <f aca="false">IFERROR(IF(AND(VLOOKUP($B773,Ref_Acuerdos!$A:$E,2,FALSE())="FTA",$A773&gt;=VLOOKUP($B773,Ref_Acuerdos!$A:$E,3,FALSE())),1,0),0)</f>
        <v>0</v>
      </c>
      <c r="I773" s="4" t="n">
        <f aca="false">IFERROR(IF(AND(VLOOKUP($B773,Ref_Acuerdos!$A:$E,2,FALSE())="PTA",$A773&gt;=VLOOKUP($B773,Ref_Acuerdos!$A:$E,3,FALSE())),1,0),0)</f>
        <v>0</v>
      </c>
      <c r="J773" s="7" t="str">
        <f aca="false">IFERROR(IF($A773&gt;=VLOOKUP($B773,Ref_Acuerdos!$A:$E,3,FALSE()),VLOOKUP($B773,Ref_Acuerdos!$A:$E,4,FALSE()),""),"")</f>
        <v/>
      </c>
      <c r="K773" s="4" t="str">
        <f aca="false">IFERROR(IF($A773&gt;=VLOOKUP($B773,Ref_Acuerdos!$A:$E,3,FALSE()),VLOOKUP($B773,Ref_Acuerdos!$A:$E,5,FALSE()),"Sin FTA/PTA vigente ese año - arancel NMF"),"Sin FTA/PTA identificado - arancel NMF")</f>
        <v>Sin FTA/PTA identificado - arancel NMF</v>
      </c>
    </row>
    <row r="774" customFormat="false" ht="15" hidden="false" customHeight="false" outlineLevel="0" collapsed="false">
      <c r="A774" s="2" t="n">
        <v>2020</v>
      </c>
      <c r="B774" s="2" t="s">
        <v>86</v>
      </c>
      <c r="C774" s="4" t="str">
        <f aca="false">IFERROR(VLOOKUP($B774,Ref_Continente!$A:$B,2,FALSE()),"Sin clasificar")</f>
        <v>North America</v>
      </c>
      <c r="D774" s="5" t="n">
        <v>462</v>
      </c>
      <c r="E774" s="6" t="n">
        <v>86.7</v>
      </c>
      <c r="F774" s="6" t="n">
        <v>1020</v>
      </c>
      <c r="G774" s="5" t="n">
        <v>57059846521.53</v>
      </c>
      <c r="H774" s="4" t="n">
        <f aca="false">IFERROR(IF(AND(VLOOKUP($B774,Ref_Acuerdos!$A:$E,2,FALSE())="FTA",$A774&gt;=VLOOKUP($B774,Ref_Acuerdos!$A:$E,3,FALSE())),1,0),0)</f>
        <v>0</v>
      </c>
      <c r="I774" s="4" t="n">
        <f aca="false">IFERROR(IF(AND(VLOOKUP($B774,Ref_Acuerdos!$A:$E,2,FALSE())="PTA",$A774&gt;=VLOOKUP($B774,Ref_Acuerdos!$A:$E,3,FALSE())),1,0),0)</f>
        <v>1</v>
      </c>
      <c r="J774" s="7" t="n">
        <f aca="false">IFERROR(IF($A774&gt;=VLOOKUP($B774,Ref_Acuerdos!$A:$E,3,FALSE()),VLOOKUP($B774,Ref_Acuerdos!$A:$E,4,FALSE()),""),"")</f>
        <v>10</v>
      </c>
      <c r="K774" s="4" t="str">
        <f aca="false">IFERROR(IF($A774&gt;=VLOOKUP($B774,Ref_Acuerdos!$A:$E,3,FALSE()),VLOOKUP($B774,Ref_Acuerdos!$A:$E,5,FALSE()),"Sin FTA/PTA vigente ese año - arancel NMF"),"Sin FTA/PTA identificado - arancel NMF")</f>
        <v>ALADI - Acuerdo de Alcance Parcial (preferencia limitada, tarifa referencial)</v>
      </c>
    </row>
    <row r="775" customFormat="false" ht="15" hidden="false" customHeight="false" outlineLevel="0" collapsed="false">
      <c r="A775" s="2" t="n">
        <v>2020</v>
      </c>
      <c r="B775" s="2" t="s">
        <v>28</v>
      </c>
      <c r="C775" s="4" t="str">
        <f aca="false">IFERROR(VLOOKUP($B775,Ref_Continente!$A:$B,2,FALSE()),"Sin clasificar")</f>
        <v>Asia</v>
      </c>
      <c r="D775" s="5" t="n">
        <v>297</v>
      </c>
      <c r="E775" s="6" t="n">
        <v>48.5</v>
      </c>
      <c r="F775" s="6" t="n">
        <v>17700</v>
      </c>
      <c r="G775" s="5" t="n">
        <v>344943149590.06</v>
      </c>
      <c r="H775" s="4" t="n">
        <f aca="false">IFERROR(IF(AND(VLOOKUP($B775,Ref_Acuerdos!$A:$E,2,FALSE())="FTA",$A775&gt;=VLOOKUP($B775,Ref_Acuerdos!$A:$E,3,FALSE())),1,0),0)</f>
        <v>0</v>
      </c>
      <c r="I775" s="4" t="n">
        <f aca="false">IFERROR(IF(AND(VLOOKUP($B775,Ref_Acuerdos!$A:$E,2,FALSE())="PTA",$A775&gt;=VLOOKUP($B775,Ref_Acuerdos!$A:$E,3,FALSE())),1,0),0)</f>
        <v>0</v>
      </c>
      <c r="J775" s="7" t="str">
        <f aca="false">IFERROR(IF($A775&gt;=VLOOKUP($B775,Ref_Acuerdos!$A:$E,3,FALSE()),VLOOKUP($B775,Ref_Acuerdos!$A:$E,4,FALSE()),""),"")</f>
        <v/>
      </c>
      <c r="K775" s="4" t="str">
        <f aca="false">IFERROR(IF($A775&gt;=VLOOKUP($B775,Ref_Acuerdos!$A:$E,3,FALSE()),VLOOKUP($B775,Ref_Acuerdos!$A:$E,5,FALSE()),"Sin FTA/PTA vigente ese año - arancel NMF"),"Sin FTA/PTA identificado - arancel NMF")</f>
        <v>Sin FTA/PTA identificado - arancel NMF</v>
      </c>
    </row>
    <row r="776" customFormat="false" ht="15" hidden="false" customHeight="false" outlineLevel="0" collapsed="false">
      <c r="A776" s="2" t="n">
        <v>2020</v>
      </c>
      <c r="B776" s="2" t="s">
        <v>112</v>
      </c>
      <c r="C776" s="4" t="str">
        <f aca="false">IFERROR(VLOOKUP($B776,Ref_Continente!$A:$B,2,FALSE()),"Sin clasificar")</f>
        <v>Asia</v>
      </c>
      <c r="D776" s="5" t="n">
        <v>176</v>
      </c>
      <c r="E776" s="6" t="n">
        <v>90</v>
      </c>
      <c r="F776" s="6" t="n">
        <v>13800</v>
      </c>
      <c r="G776" s="5" t="n">
        <v>41509903181.72</v>
      </c>
      <c r="H776" s="4" t="n">
        <f aca="false">IFERROR(IF(AND(VLOOKUP($B776,Ref_Acuerdos!$A:$E,2,FALSE())="FTA",$A776&gt;=VLOOKUP($B776,Ref_Acuerdos!$A:$E,3,FALSE())),1,0),0)</f>
        <v>0</v>
      </c>
      <c r="I776" s="4" t="n">
        <f aca="false">IFERROR(IF(AND(VLOOKUP($B776,Ref_Acuerdos!$A:$E,2,FALSE())="PTA",$A776&gt;=VLOOKUP($B776,Ref_Acuerdos!$A:$E,3,FALSE())),1,0),0)</f>
        <v>0</v>
      </c>
      <c r="J776" s="7" t="str">
        <f aca="false">IFERROR(IF($A776&gt;=VLOOKUP($B776,Ref_Acuerdos!$A:$E,3,FALSE()),VLOOKUP($B776,Ref_Acuerdos!$A:$E,4,FALSE()),""),"")</f>
        <v/>
      </c>
      <c r="K776" s="4" t="str">
        <f aca="false">IFERROR(IF($A776&gt;=VLOOKUP($B776,Ref_Acuerdos!$A:$E,3,FALSE()),VLOOKUP($B776,Ref_Acuerdos!$A:$E,5,FALSE()),"Sin FTA/PTA vigente ese año - arancel NMF"),"Sin FTA/PTA identificado - arancel NMF")</f>
        <v>Sin FTA/PTA identificado - arancel NMF</v>
      </c>
    </row>
    <row r="777" customFormat="false" ht="15" hidden="false" customHeight="false" outlineLevel="0" collapsed="false">
      <c r="A777" s="2" t="n">
        <v>2020</v>
      </c>
      <c r="B777" s="2" t="s">
        <v>2</v>
      </c>
      <c r="C777" s="4" t="str">
        <f aca="false">IFERROR(VLOOKUP($B777,Ref_Continente!$A:$B,2,FALSE()),"Sin clasificar")</f>
        <v>Africa</v>
      </c>
      <c r="D777" s="5" t="n">
        <v>111</v>
      </c>
      <c r="E777" s="6" t="n">
        <v>40.8</v>
      </c>
      <c r="F777" s="6" t="n">
        <v>9140</v>
      </c>
      <c r="G777" s="5" t="n">
        <v>164873415325.2</v>
      </c>
      <c r="H777" s="4" t="n">
        <f aca="false">IFERROR(IF(AND(VLOOKUP($B777,Ref_Acuerdos!$A:$E,2,FALSE())="FTA",$A777&gt;=VLOOKUP($B777,Ref_Acuerdos!$A:$E,3,FALSE())),1,0),0)</f>
        <v>0</v>
      </c>
      <c r="I777" s="4" t="n">
        <f aca="false">IFERROR(IF(AND(VLOOKUP($B777,Ref_Acuerdos!$A:$E,2,FALSE())="PTA",$A777&gt;=VLOOKUP($B777,Ref_Acuerdos!$A:$E,3,FALSE())),1,0),0)</f>
        <v>0</v>
      </c>
      <c r="J777" s="7" t="str">
        <f aca="false">IFERROR(IF($A777&gt;=VLOOKUP($B777,Ref_Acuerdos!$A:$E,3,FALSE()),VLOOKUP($B777,Ref_Acuerdos!$A:$E,4,FALSE()),""),"")</f>
        <v/>
      </c>
      <c r="K777" s="4" t="str">
        <f aca="false">IFERROR(IF($A777&gt;=VLOOKUP($B777,Ref_Acuerdos!$A:$E,3,FALSE()),VLOOKUP($B777,Ref_Acuerdos!$A:$E,5,FALSE()),"Sin FTA/PTA vigente ese año - arancel NMF"),"Sin FTA/PTA identificado - arancel NMF")</f>
        <v>Sin FTA/PTA identificado - arancel NMF</v>
      </c>
    </row>
    <row r="778" customFormat="false" ht="15" hidden="false" customHeight="false" outlineLevel="0" collapsed="false">
      <c r="A778" s="2" t="n">
        <v>2020</v>
      </c>
      <c r="B778" s="2" t="s">
        <v>117</v>
      </c>
      <c r="C778" s="4" t="str">
        <f aca="false">IFERROR(VLOOKUP($B778,Ref_Continente!$A:$B,2,FALSE()),"Sin clasificar")</f>
        <v>Europe</v>
      </c>
      <c r="D778" s="5" t="n">
        <v>96</v>
      </c>
      <c r="E778" s="6" t="n">
        <v>23</v>
      </c>
      <c r="F778" s="6" t="n">
        <v>9200</v>
      </c>
      <c r="G778" s="5" t="n">
        <v>2724001478304.59</v>
      </c>
      <c r="H778" s="4" t="n">
        <f aca="false">IFERROR(IF(AND(VLOOKUP($B778,Ref_Acuerdos!$A:$E,2,FALSE())="FTA",$A778&gt;=VLOOKUP($B778,Ref_Acuerdos!$A:$E,3,FALSE())),1,0),0)</f>
        <v>0</v>
      </c>
      <c r="I778" s="4" t="n">
        <f aca="false">IFERROR(IF(AND(VLOOKUP($B778,Ref_Acuerdos!$A:$E,2,FALSE())="PTA",$A778&gt;=VLOOKUP($B778,Ref_Acuerdos!$A:$E,3,FALSE())),1,0),0)</f>
        <v>0</v>
      </c>
      <c r="J778" s="7" t="str">
        <f aca="false">IFERROR(IF($A778&gt;=VLOOKUP($B778,Ref_Acuerdos!$A:$E,3,FALSE()),VLOOKUP($B778,Ref_Acuerdos!$A:$E,4,FALSE()),""),"")</f>
        <v/>
      </c>
      <c r="K778" s="4" t="str">
        <f aca="false">IFERROR(IF($A778&gt;=VLOOKUP($B778,Ref_Acuerdos!$A:$E,3,FALSE()),VLOOKUP($B778,Ref_Acuerdos!$A:$E,5,FALSE()),"Sin FTA/PTA vigente ese año - arancel NMF"),"Sin FTA/PTA identificado - arancel NMF")</f>
        <v>Sin FTA/PTA vigente ese año - arancel NMF</v>
      </c>
    </row>
    <row r="779" customFormat="false" ht="15" hidden="false" customHeight="false" outlineLevel="0" collapsed="false">
      <c r="A779" s="2" t="n">
        <v>2021</v>
      </c>
      <c r="B779" s="2" t="s">
        <v>61</v>
      </c>
      <c r="C779" s="4" t="str">
        <f aca="false">IFERROR(VLOOKUP($B779,Ref_Continente!$A:$B,2,FALSE()),"Sin clasificar")</f>
        <v>Asia</v>
      </c>
      <c r="D779" s="5" t="n">
        <v>5777183</v>
      </c>
      <c r="E779" s="6" t="n">
        <v>869113.1</v>
      </c>
      <c r="F779" s="6" t="n">
        <v>14500</v>
      </c>
      <c r="G779" s="5" t="n">
        <v>5039148168861.22</v>
      </c>
      <c r="H779" s="4" t="n">
        <f aca="false">IFERROR(IF(AND(VLOOKUP($B779,Ref_Acuerdos!$A:$E,2,FALSE())="FTA",$A779&gt;=VLOOKUP($B779,Ref_Acuerdos!$A:$E,3,FALSE())),1,0),0)</f>
        <v>0</v>
      </c>
      <c r="I779" s="4" t="n">
        <f aca="false">IFERROR(IF(AND(VLOOKUP($B779,Ref_Acuerdos!$A:$E,2,FALSE())="PTA",$A779&gt;=VLOOKUP($B779,Ref_Acuerdos!$A:$E,3,FALSE())),1,0),0)</f>
        <v>0</v>
      </c>
      <c r="J779" s="7" t="str">
        <f aca="false">IFERROR(IF($A779&gt;=VLOOKUP($B779,Ref_Acuerdos!$A:$E,3,FALSE()),VLOOKUP($B779,Ref_Acuerdos!$A:$E,4,FALSE()),""),"")</f>
        <v/>
      </c>
      <c r="K779" s="4" t="str">
        <f aca="false">IFERROR(IF($A779&gt;=VLOOKUP($B779,Ref_Acuerdos!$A:$E,3,FALSE()),VLOOKUP($B779,Ref_Acuerdos!$A:$E,5,FALSE()),"Sin FTA/PTA vigente ese año - arancel NMF"),"Sin FTA/PTA identificado - arancel NMF")</f>
        <v>Sin FTA/PTA identificado - arancel NMF</v>
      </c>
    </row>
    <row r="780" customFormat="false" ht="15" hidden="false" customHeight="false" outlineLevel="0" collapsed="false">
      <c r="A780" s="2" t="n">
        <v>2021</v>
      </c>
      <c r="B780" s="2" t="s">
        <v>96</v>
      </c>
      <c r="C780" s="4" t="str">
        <f aca="false">IFERROR(VLOOKUP($B780,Ref_Continente!$A:$B,2,FALSE()),"Sin clasificar")</f>
        <v>Europe</v>
      </c>
      <c r="D780" s="5" t="n">
        <v>4464064</v>
      </c>
      <c r="E780" s="6" t="n">
        <v>1081234.8</v>
      </c>
      <c r="F780" s="6" t="n">
        <v>12000</v>
      </c>
      <c r="G780" s="5" t="n">
        <v>1829186719575.1</v>
      </c>
      <c r="H780" s="4" t="n">
        <f aca="false">IFERROR(IF(AND(VLOOKUP($B780,Ref_Acuerdos!$A:$E,2,FALSE())="FTA",$A780&gt;=VLOOKUP($B780,Ref_Acuerdos!$A:$E,3,FALSE())),1,0),0)</f>
        <v>0</v>
      </c>
      <c r="I780" s="4" t="n">
        <f aca="false">IFERROR(IF(AND(VLOOKUP($B780,Ref_Acuerdos!$A:$E,2,FALSE())="PTA",$A780&gt;=VLOOKUP($B780,Ref_Acuerdos!$A:$E,3,FALSE())),1,0),0)</f>
        <v>0</v>
      </c>
      <c r="J780" s="7" t="str">
        <f aca="false">IFERROR(IF($A780&gt;=VLOOKUP($B780,Ref_Acuerdos!$A:$E,3,FALSE()),VLOOKUP($B780,Ref_Acuerdos!$A:$E,4,FALSE()),""),"")</f>
        <v/>
      </c>
      <c r="K780" s="4" t="str">
        <f aca="false">IFERROR(IF($A780&gt;=VLOOKUP($B780,Ref_Acuerdos!$A:$E,3,FALSE()),VLOOKUP($B780,Ref_Acuerdos!$A:$E,5,FALSE()),"Sin FTA/PTA vigente ese año - arancel NMF"),"Sin FTA/PTA identificado - arancel NMF")</f>
        <v>Sin FTA/PTA identificado - arancel NMF</v>
      </c>
    </row>
    <row r="781" customFormat="false" ht="15" hidden="false" customHeight="false" outlineLevel="0" collapsed="false">
      <c r="A781" s="2" t="n">
        <v>2021</v>
      </c>
      <c r="B781" s="2" t="s">
        <v>114</v>
      </c>
      <c r="C781" s="4" t="str">
        <f aca="false">IFERROR(VLOOKUP($B781,Ref_Continente!$A:$B,2,FALSE()),"Sin clasificar")</f>
        <v>North America</v>
      </c>
      <c r="D781" s="5" t="n">
        <v>2863092</v>
      </c>
      <c r="E781" s="6" t="n">
        <v>500489.2</v>
      </c>
      <c r="F781" s="6" t="n">
        <v>4550</v>
      </c>
      <c r="G781" s="5" t="n">
        <v>23315080560000</v>
      </c>
      <c r="H781" s="4" t="n">
        <f aca="false">IFERROR(IF(AND(VLOOKUP($B781,Ref_Acuerdos!$A:$E,2,FALSE())="FTA",$A781&gt;=VLOOKUP($B781,Ref_Acuerdos!$A:$E,3,FALSE())),1,0),0)</f>
        <v>0</v>
      </c>
      <c r="I781" s="4" t="n">
        <f aca="false">IFERROR(IF(AND(VLOOKUP($B781,Ref_Acuerdos!$A:$E,2,FALSE())="PTA",$A781&gt;=VLOOKUP($B781,Ref_Acuerdos!$A:$E,3,FALSE())),1,0),0)</f>
        <v>0</v>
      </c>
      <c r="J781" s="7" t="str">
        <f aca="false">IFERROR(IF($A781&gt;=VLOOKUP($B781,Ref_Acuerdos!$A:$E,3,FALSE()),VLOOKUP($B781,Ref_Acuerdos!$A:$E,4,FALSE()),""),"")</f>
        <v/>
      </c>
      <c r="K781" s="4" t="str">
        <f aca="false">IFERROR(IF($A781&gt;=VLOOKUP($B781,Ref_Acuerdos!$A:$E,3,FALSE()),VLOOKUP($B781,Ref_Acuerdos!$A:$E,5,FALSE()),"Sin FTA/PTA vigente ese año - arancel NMF"),"Sin FTA/PTA identificado - arancel NMF")</f>
        <v>Sin FTA/PTA identificado - arancel NMF</v>
      </c>
    </row>
    <row r="782" customFormat="false" ht="15" hidden="false" customHeight="false" outlineLevel="0" collapsed="false">
      <c r="A782" s="2" t="n">
        <v>2021</v>
      </c>
      <c r="B782" s="2" t="s">
        <v>19</v>
      </c>
      <c r="C782" s="4" t="str">
        <f aca="false">IFERROR(VLOOKUP($B782,Ref_Continente!$A:$B,2,FALSE()),"Sin clasificar")</f>
        <v>Europe</v>
      </c>
      <c r="D782" s="5" t="n">
        <v>2432346</v>
      </c>
      <c r="E782" s="6" t="n">
        <v>664888.5</v>
      </c>
      <c r="F782" s="6" t="n">
        <v>10600</v>
      </c>
      <c r="G782" s="5" t="n">
        <v>69673747131.87</v>
      </c>
      <c r="H782" s="4" t="n">
        <f aca="false">IFERROR(IF(AND(VLOOKUP($B782,Ref_Acuerdos!$A:$E,2,FALSE())="FTA",$A782&gt;=VLOOKUP($B782,Ref_Acuerdos!$A:$E,3,FALSE())),1,0),0)</f>
        <v>0</v>
      </c>
      <c r="I782" s="4" t="n">
        <f aca="false">IFERROR(IF(AND(VLOOKUP($B782,Ref_Acuerdos!$A:$E,2,FALSE())="PTA",$A782&gt;=VLOOKUP($B782,Ref_Acuerdos!$A:$E,3,FALSE())),1,0),0)</f>
        <v>0</v>
      </c>
      <c r="J782" s="7" t="str">
        <f aca="false">IFERROR(IF($A782&gt;=VLOOKUP($B782,Ref_Acuerdos!$A:$E,3,FALSE()),VLOOKUP($B782,Ref_Acuerdos!$A:$E,4,FALSE()),""),"")</f>
        <v/>
      </c>
      <c r="K782" s="4" t="str">
        <f aca="false">IFERROR(IF($A782&gt;=VLOOKUP($B782,Ref_Acuerdos!$A:$E,3,FALSE()),VLOOKUP($B782,Ref_Acuerdos!$A:$E,5,FALSE()),"Sin FTA/PTA vigente ese año - arancel NMF"),"Sin FTA/PTA identificado - arancel NMF")</f>
        <v>Sin FTA/PTA identificado - arancel NMF</v>
      </c>
    </row>
    <row r="783" customFormat="false" ht="15" hidden="false" customHeight="false" outlineLevel="0" collapsed="false">
      <c r="A783" s="2" t="n">
        <v>2021</v>
      </c>
      <c r="B783" s="2" t="s">
        <v>77</v>
      </c>
      <c r="C783" s="4" t="str">
        <f aca="false">IFERROR(VLOOKUP($B783,Ref_Continente!$A:$B,2,FALSE()),"Sin clasificar")</f>
        <v>Europe</v>
      </c>
      <c r="D783" s="5" t="n">
        <v>1647785</v>
      </c>
      <c r="E783" s="6" t="n">
        <v>344856.3</v>
      </c>
      <c r="F783" s="6" t="n">
        <v>9300</v>
      </c>
      <c r="G783" s="5" t="n">
        <v>1054472123449.6</v>
      </c>
      <c r="H783" s="4" t="n">
        <f aca="false">IFERROR(IF(AND(VLOOKUP($B783,Ref_Acuerdos!$A:$E,2,FALSE())="FTA",$A783&gt;=VLOOKUP($B783,Ref_Acuerdos!$A:$E,3,FALSE())),1,0),0)</f>
        <v>1</v>
      </c>
      <c r="I783" s="4" t="n">
        <f aca="false">IFERROR(IF(AND(VLOOKUP($B783,Ref_Acuerdos!$A:$E,2,FALSE())="PTA",$A783&gt;=VLOOKUP($B783,Ref_Acuerdos!$A:$E,3,FALSE())),1,0),0)</f>
        <v>0</v>
      </c>
      <c r="J783" s="7" t="n">
        <f aca="false">IFERROR(IF($A783&gt;=VLOOKUP($B783,Ref_Acuerdos!$A:$E,3,FALSE()),VLOOKUP($B783,Ref_Acuerdos!$A:$E,4,FALSE()),""),"")</f>
        <v>0</v>
      </c>
      <c r="K783" s="4" t="str">
        <f aca="false">IFERROR(IF($A783&gt;=VLOOKUP($B783,Ref_Acuerdos!$A:$E,3,FALSE()),VLOOKUP($B783,Ref_Acuerdos!$A:$E,5,FALSE()),"Sin FTA/PTA vigente ese año - arancel NMF"),"Sin FTA/PTA identificado - arancel NMF")</f>
        <v>UE-Ecuador Acuerdo Multipartes, vigente desde ene-2017</v>
      </c>
    </row>
    <row r="784" customFormat="false" ht="15" hidden="false" customHeight="false" outlineLevel="0" collapsed="false">
      <c r="A784" s="2" t="n">
        <v>2021</v>
      </c>
      <c r="B784" s="2" t="s">
        <v>115</v>
      </c>
      <c r="C784" s="4" t="str">
        <f aca="false">IFERROR(VLOOKUP($B784,Ref_Continente!$A:$B,2,FALSE()),"Sin clasificar")</f>
        <v>Europe</v>
      </c>
      <c r="D784" s="5" t="n">
        <v>537161</v>
      </c>
      <c r="E784" s="6" t="n">
        <v>135393.7</v>
      </c>
      <c r="F784" s="6" t="n">
        <v>11</v>
      </c>
      <c r="G784" s="5" t="n">
        <v>199765859570.94</v>
      </c>
      <c r="H784" s="4" t="n">
        <f aca="false">IFERROR(IF(AND(VLOOKUP($B784,Ref_Acuerdos!$A:$E,2,FALSE())="FTA",$A784&gt;=VLOOKUP($B784,Ref_Acuerdos!$A:$E,3,FALSE())),1,0),0)</f>
        <v>0</v>
      </c>
      <c r="I784" s="4" t="n">
        <f aca="false">IFERROR(IF(AND(VLOOKUP($B784,Ref_Acuerdos!$A:$E,2,FALSE())="PTA",$A784&gt;=VLOOKUP($B784,Ref_Acuerdos!$A:$E,3,FALSE())),1,0),0)</f>
        <v>0</v>
      </c>
      <c r="J784" s="7" t="str">
        <f aca="false">IFERROR(IF($A784&gt;=VLOOKUP($B784,Ref_Acuerdos!$A:$E,3,FALSE()),VLOOKUP($B784,Ref_Acuerdos!$A:$E,4,FALSE()),""),"")</f>
        <v/>
      </c>
      <c r="K784" s="4" t="str">
        <f aca="false">IFERROR(IF($A784&gt;=VLOOKUP($B784,Ref_Acuerdos!$A:$E,3,FALSE()),VLOOKUP($B784,Ref_Acuerdos!$A:$E,5,FALSE()),"Sin FTA/PTA vigente ese año - arancel NMF"),"Sin FTA/PTA identificado - arancel NMF")</f>
        <v>Sin FTA/PTA identificado - arancel NMF</v>
      </c>
    </row>
    <row r="785" customFormat="false" ht="15" hidden="false" customHeight="false" outlineLevel="0" collapsed="false">
      <c r="A785" s="2" t="n">
        <v>2021</v>
      </c>
      <c r="B785" s="2" t="s">
        <v>12</v>
      </c>
      <c r="C785" s="4" t="str">
        <f aca="false">IFERROR(VLOOKUP($B785,Ref_Continente!$A:$B,2,FALSE()),"Sin clasificar")</f>
        <v>Oceania</v>
      </c>
      <c r="D785" s="5" t="n">
        <v>339158</v>
      </c>
      <c r="E785" s="6" t="n">
        <v>53245</v>
      </c>
      <c r="F785" s="6" t="n">
        <v>14000</v>
      </c>
      <c r="G785" s="5" t="n">
        <v>1560617493202.69</v>
      </c>
      <c r="H785" s="4" t="n">
        <f aca="false">IFERROR(IF(AND(VLOOKUP($B785,Ref_Acuerdos!$A:$E,2,FALSE())="FTA",$A785&gt;=VLOOKUP($B785,Ref_Acuerdos!$A:$E,3,FALSE())),1,0),0)</f>
        <v>0</v>
      </c>
      <c r="I785" s="4" t="n">
        <f aca="false">IFERROR(IF(AND(VLOOKUP($B785,Ref_Acuerdos!$A:$E,2,FALSE())="PTA",$A785&gt;=VLOOKUP($B785,Ref_Acuerdos!$A:$E,3,FALSE())),1,0),0)</f>
        <v>0</v>
      </c>
      <c r="J785" s="7" t="str">
        <f aca="false">IFERROR(IF($A785&gt;=VLOOKUP($B785,Ref_Acuerdos!$A:$E,3,FALSE()),VLOOKUP($B785,Ref_Acuerdos!$A:$E,4,FALSE()),""),"")</f>
        <v/>
      </c>
      <c r="K785" s="4" t="str">
        <f aca="false">IFERROR(IF($A785&gt;=VLOOKUP($B785,Ref_Acuerdos!$A:$E,3,FALSE()),VLOOKUP($B785,Ref_Acuerdos!$A:$E,5,FALSE()),"Sin FTA/PTA vigente ese año - arancel NMF"),"Sin FTA/PTA identificado - arancel NMF")</f>
        <v>Sin FTA/PTA identificado - arancel NMF</v>
      </c>
    </row>
    <row r="786" customFormat="false" ht="15" hidden="false" customHeight="false" outlineLevel="0" collapsed="false">
      <c r="A786" s="2" t="n">
        <v>2021</v>
      </c>
      <c r="B786" s="2" t="s">
        <v>26</v>
      </c>
      <c r="C786" s="4" t="str">
        <f aca="false">IFERROR(VLOOKUP($B786,Ref_Continente!$A:$B,2,FALSE()),"Sin clasificar")</f>
        <v>South America</v>
      </c>
      <c r="D786" s="5" t="n">
        <v>302004</v>
      </c>
      <c r="E786" s="6" t="n">
        <v>69167.5</v>
      </c>
      <c r="F786" s="6" t="n">
        <v>2600</v>
      </c>
      <c r="G786" s="5" t="n">
        <v>315325547162.07</v>
      </c>
      <c r="H786" s="4" t="n">
        <f aca="false">IFERROR(IF(AND(VLOOKUP($B786,Ref_Acuerdos!$A:$E,2,FALSE())="FTA",$A786&gt;=VLOOKUP($B786,Ref_Acuerdos!$A:$E,3,FALSE())),1,0),0)</f>
        <v>1</v>
      </c>
      <c r="I786" s="4" t="n">
        <f aca="false">IFERROR(IF(AND(VLOOKUP($B786,Ref_Acuerdos!$A:$E,2,FALSE())="PTA",$A786&gt;=VLOOKUP($B786,Ref_Acuerdos!$A:$E,3,FALSE())),1,0),0)</f>
        <v>0</v>
      </c>
      <c r="J786" s="7" t="n">
        <f aca="false">IFERROR(IF($A786&gt;=VLOOKUP($B786,Ref_Acuerdos!$A:$E,3,FALSE()),VLOOKUP($B786,Ref_Acuerdos!$A:$E,4,FALSE()),""),"")</f>
        <v>0</v>
      </c>
      <c r="K786" s="4" t="str">
        <f aca="false">IFERROR(IF($A786&gt;=VLOOKUP($B786,Ref_Acuerdos!$A:$E,3,FALSE()),VLOOKUP($B786,Ref_Acuerdos!$A:$E,5,FALSE()),"Sin FTA/PTA vigente ese año - arancel NMF"),"Sin FTA/PTA identificado - arancel NMF")</f>
        <v>Ecuador-Chile ACE 65, vigente desde 2010</v>
      </c>
    </row>
    <row r="787" customFormat="false" ht="15" hidden="false" customHeight="false" outlineLevel="0" collapsed="false">
      <c r="A787" s="2" t="n">
        <v>2021</v>
      </c>
      <c r="B787" s="2" t="s">
        <v>105</v>
      </c>
      <c r="C787" s="4" t="str">
        <f aca="false">IFERROR(VLOOKUP($B787,Ref_Continente!$A:$B,2,FALSE()),"Sin clasificar")</f>
        <v>Europe</v>
      </c>
      <c r="D787" s="5" t="n">
        <v>254304</v>
      </c>
      <c r="E787" s="6" t="n">
        <v>51890.8</v>
      </c>
      <c r="F787" s="6" t="n">
        <v>8700</v>
      </c>
      <c r="G787" s="5" t="n">
        <v>1461244901852.69</v>
      </c>
      <c r="H787" s="4" t="n">
        <f aca="false">IFERROR(IF(AND(VLOOKUP($B787,Ref_Acuerdos!$A:$E,2,FALSE())="FTA",$A787&gt;=VLOOKUP($B787,Ref_Acuerdos!$A:$E,3,FALSE())),1,0),0)</f>
        <v>1</v>
      </c>
      <c r="I787" s="4" t="n">
        <f aca="false">IFERROR(IF(AND(VLOOKUP($B787,Ref_Acuerdos!$A:$E,2,FALSE())="PTA",$A787&gt;=VLOOKUP($B787,Ref_Acuerdos!$A:$E,3,FALSE())),1,0),0)</f>
        <v>0</v>
      </c>
      <c r="J787" s="7" t="n">
        <f aca="false">IFERROR(IF($A787&gt;=VLOOKUP($B787,Ref_Acuerdos!$A:$E,3,FALSE()),VLOOKUP($B787,Ref_Acuerdos!$A:$E,4,FALSE()),""),"")</f>
        <v>0</v>
      </c>
      <c r="K787" s="4" t="str">
        <f aca="false">IFERROR(IF($A787&gt;=VLOOKUP($B787,Ref_Acuerdos!$A:$E,3,FALSE()),VLOOKUP($B787,Ref_Acuerdos!$A:$E,5,FALSE()),"Sin FTA/PTA vigente ese año - arancel NMF"),"Sin FTA/PTA identificado - arancel NMF")</f>
        <v>UE-Ecuador Acuerdo Multipartes, vigente desde ene-2017</v>
      </c>
    </row>
    <row r="788" customFormat="false" ht="15" hidden="false" customHeight="false" outlineLevel="0" collapsed="false">
      <c r="A788" s="2" t="n">
        <v>2021</v>
      </c>
      <c r="B788" s="2" t="s">
        <v>63</v>
      </c>
      <c r="C788" s="4" t="str">
        <f aca="false">IFERROR(VLOOKUP($B788,Ref_Continente!$A:$B,2,FALSE()),"Sin clasificar")</f>
        <v>Asia</v>
      </c>
      <c r="D788" s="5" t="n">
        <v>122388</v>
      </c>
      <c r="E788" s="6" t="n">
        <v>29989.3</v>
      </c>
      <c r="F788" s="6" t="n">
        <v>13600</v>
      </c>
      <c r="G788" s="5" t="n">
        <v>197112255360.61</v>
      </c>
      <c r="H788" s="4" t="n">
        <f aca="false">IFERROR(IF(AND(VLOOKUP($B788,Ref_Acuerdos!$A:$E,2,FALSE())="FTA",$A788&gt;=VLOOKUP($B788,Ref_Acuerdos!$A:$E,3,FALSE())),1,0),0)</f>
        <v>0</v>
      </c>
      <c r="I788" s="4" t="n">
        <f aca="false">IFERROR(IF(AND(VLOOKUP($B788,Ref_Acuerdos!$A:$E,2,FALSE())="PTA",$A788&gt;=VLOOKUP($B788,Ref_Acuerdos!$A:$E,3,FALSE())),1,0),0)</f>
        <v>0</v>
      </c>
      <c r="J788" s="7" t="str">
        <f aca="false">IFERROR(IF($A788&gt;=VLOOKUP($B788,Ref_Acuerdos!$A:$E,3,FALSE()),VLOOKUP($B788,Ref_Acuerdos!$A:$E,4,FALSE()),""),"")</f>
        <v/>
      </c>
      <c r="K788" s="4" t="str">
        <f aca="false">IFERROR(IF($A788&gt;=VLOOKUP($B788,Ref_Acuerdos!$A:$E,3,FALSE()),VLOOKUP($B788,Ref_Acuerdos!$A:$E,5,FALSE()),"Sin FTA/PTA vigente ese año - arancel NMF"),"Sin FTA/PTA identificado - arancel NMF")</f>
        <v>Sin FTA/PTA identificado - arancel NMF</v>
      </c>
    </row>
    <row r="789" customFormat="false" ht="15" hidden="false" customHeight="false" outlineLevel="0" collapsed="false">
      <c r="A789" s="2" t="n">
        <v>2021</v>
      </c>
      <c r="B789" s="2" t="s">
        <v>25</v>
      </c>
      <c r="C789" s="4" t="str">
        <f aca="false">IFERROR(VLOOKUP($B789,Ref_Continente!$A:$B,2,FALSE()),"Sin clasificar")</f>
        <v>North America</v>
      </c>
      <c r="D789" s="5" t="n">
        <v>94281</v>
      </c>
      <c r="E789" s="6" t="n">
        <v>11432.6</v>
      </c>
      <c r="F789" s="6" t="n">
        <v>5900</v>
      </c>
      <c r="G789" s="5" t="n">
        <v>2022378748423.23</v>
      </c>
      <c r="H789" s="4" t="n">
        <f aca="false">IFERROR(IF(AND(VLOOKUP($B789,Ref_Acuerdos!$A:$E,2,FALSE())="FTA",$A789&gt;=VLOOKUP($B789,Ref_Acuerdos!$A:$E,3,FALSE())),1,0),0)</f>
        <v>0</v>
      </c>
      <c r="I789" s="4" t="n">
        <f aca="false">IFERROR(IF(AND(VLOOKUP($B789,Ref_Acuerdos!$A:$E,2,FALSE())="PTA",$A789&gt;=VLOOKUP($B789,Ref_Acuerdos!$A:$E,3,FALSE())),1,0),0)</f>
        <v>0</v>
      </c>
      <c r="J789" s="7" t="str">
        <f aca="false">IFERROR(IF($A789&gt;=VLOOKUP($B789,Ref_Acuerdos!$A:$E,3,FALSE()),VLOOKUP($B789,Ref_Acuerdos!$A:$E,4,FALSE()),""),"")</f>
        <v/>
      </c>
      <c r="K789" s="4" t="str">
        <f aca="false">IFERROR(IF($A789&gt;=VLOOKUP($B789,Ref_Acuerdos!$A:$E,3,FALSE()),VLOOKUP($B789,Ref_Acuerdos!$A:$E,5,FALSE()),"Sin FTA/PTA vigente ese año - arancel NMF"),"Sin FTA/PTA identificado - arancel NMF")</f>
        <v>Sin FTA/PTA identificado - arancel NMF</v>
      </c>
    </row>
    <row r="790" customFormat="false" ht="15" hidden="false" customHeight="false" outlineLevel="0" collapsed="false">
      <c r="A790" s="2" t="n">
        <v>2021</v>
      </c>
      <c r="B790" s="2" t="s">
        <v>87</v>
      </c>
      <c r="C790" s="4" t="str">
        <f aca="false">IFERROR(VLOOKUP($B790,Ref_Continente!$A:$B,2,FALSE()),"Sin clasificar")</f>
        <v>South America</v>
      </c>
      <c r="D790" s="5" t="n">
        <v>85746</v>
      </c>
      <c r="E790" s="6" t="n">
        <v>31371.5</v>
      </c>
      <c r="F790" s="6" t="n">
        <v>3600</v>
      </c>
      <c r="G790" s="5" t="n">
        <v>39950899938.75</v>
      </c>
      <c r="H790" s="4" t="n">
        <f aca="false">IFERROR(IF(AND(VLOOKUP($B790,Ref_Acuerdos!$A:$E,2,FALSE())="FTA",$A790&gt;=VLOOKUP($B790,Ref_Acuerdos!$A:$E,3,FALSE())),1,0),0)</f>
        <v>0</v>
      </c>
      <c r="I790" s="4" t="n">
        <f aca="false">IFERROR(IF(AND(VLOOKUP($B790,Ref_Acuerdos!$A:$E,2,FALSE())="PTA",$A790&gt;=VLOOKUP($B790,Ref_Acuerdos!$A:$E,3,FALSE())),1,0),0)</f>
        <v>1</v>
      </c>
      <c r="J790" s="7" t="n">
        <f aca="false">IFERROR(IF($A790&gt;=VLOOKUP($B790,Ref_Acuerdos!$A:$E,3,FALSE()),VLOOKUP($B790,Ref_Acuerdos!$A:$E,4,FALSE()),""),"")</f>
        <v>5</v>
      </c>
      <c r="K790" s="4" t="str">
        <f aca="false">IFERROR(IF($A790&gt;=VLOOKUP($B790,Ref_Acuerdos!$A:$E,3,FALSE()),VLOOKUP($B790,Ref_Acuerdos!$A:$E,5,FALSE()),"Sin FTA/PTA vigente ese año - arancel NMF"),"Sin FTA/PTA identificado - arancel NMF")</f>
        <v>Ecuador-Mercosur ACE 59 - preferencias parciales (tarifa referencial)</v>
      </c>
    </row>
    <row r="791" customFormat="false" ht="15" hidden="false" customHeight="false" outlineLevel="0" collapsed="false">
      <c r="A791" s="2" t="n">
        <v>2021</v>
      </c>
      <c r="B791" s="2" t="s">
        <v>118</v>
      </c>
      <c r="C791" s="4" t="str">
        <f aca="false">IFERROR(VLOOKUP($B791,Ref_Continente!$A:$B,2,FALSE()),"Sin clasificar")</f>
        <v>South America</v>
      </c>
      <c r="D791" s="5" t="n">
        <v>84893</v>
      </c>
      <c r="E791" s="6" t="n">
        <v>17540.6</v>
      </c>
      <c r="F791" s="6" t="n">
        <v>4650</v>
      </c>
      <c r="G791" s="5" t="n">
        <v>60739084240.86</v>
      </c>
      <c r="H791" s="4" t="n">
        <f aca="false">IFERROR(IF(AND(VLOOKUP($B791,Ref_Acuerdos!$A:$E,2,FALSE())="FTA",$A791&gt;=VLOOKUP($B791,Ref_Acuerdos!$A:$E,3,FALSE())),1,0),0)</f>
        <v>0</v>
      </c>
      <c r="I791" s="4" t="n">
        <f aca="false">IFERROR(IF(AND(VLOOKUP($B791,Ref_Acuerdos!$A:$E,2,FALSE())="PTA",$A791&gt;=VLOOKUP($B791,Ref_Acuerdos!$A:$E,3,FALSE())),1,0),0)</f>
        <v>1</v>
      </c>
      <c r="J791" s="7" t="n">
        <f aca="false">IFERROR(IF($A791&gt;=VLOOKUP($B791,Ref_Acuerdos!$A:$E,3,FALSE()),VLOOKUP($B791,Ref_Acuerdos!$A:$E,4,FALSE()),""),"")</f>
        <v>5</v>
      </c>
      <c r="K791" s="4" t="str">
        <f aca="false">IFERROR(IF($A791&gt;=VLOOKUP($B791,Ref_Acuerdos!$A:$E,3,FALSE()),VLOOKUP($B791,Ref_Acuerdos!$A:$E,5,FALSE()),"Sin FTA/PTA vigente ese año - arancel NMF"),"Sin FTA/PTA identificado - arancel NMF")</f>
        <v>Ecuador-Mercosur ACE 59 - preferencias parciales (tarifa referencial)</v>
      </c>
    </row>
    <row r="792" customFormat="false" ht="15" hidden="false" customHeight="false" outlineLevel="0" collapsed="false">
      <c r="A792" s="2" t="n">
        <v>2021</v>
      </c>
      <c r="B792" s="2" t="s">
        <v>88</v>
      </c>
      <c r="C792" s="4" t="str">
        <f aca="false">IFERROR(VLOOKUP($B792,Ref_Continente!$A:$B,2,FALSE()),"Sin clasificar")</f>
        <v>South America</v>
      </c>
      <c r="D792" s="5" t="n">
        <v>60513</v>
      </c>
      <c r="E792" s="6" t="n">
        <v>26444</v>
      </c>
      <c r="F792" s="6" t="n">
        <v>1320</v>
      </c>
      <c r="G792" s="5" t="n">
        <v>226328766459.63</v>
      </c>
      <c r="H792" s="4" t="n">
        <f aca="false">IFERROR(IF(AND(VLOOKUP($B792,Ref_Acuerdos!$A:$E,2,FALSE())="FTA",$A792&gt;=VLOOKUP($B792,Ref_Acuerdos!$A:$E,3,FALSE())),1,0),0)</f>
        <v>0</v>
      </c>
      <c r="I792" s="4" t="n">
        <f aca="false">IFERROR(IF(AND(VLOOKUP($B792,Ref_Acuerdos!$A:$E,2,FALSE())="PTA",$A792&gt;=VLOOKUP($B792,Ref_Acuerdos!$A:$E,3,FALSE())),1,0),0)</f>
        <v>1</v>
      </c>
      <c r="J792" s="7" t="n">
        <f aca="false">IFERROR(IF($A792&gt;=VLOOKUP($B792,Ref_Acuerdos!$A:$E,3,FALSE()),VLOOKUP($B792,Ref_Acuerdos!$A:$E,4,FALSE()),""),"")</f>
        <v>0</v>
      </c>
      <c r="K792" s="4" t="str">
        <f aca="false">IFERROR(IF($A792&gt;=VLOOKUP($B792,Ref_Acuerdos!$A:$E,3,FALSE()),VLOOKUP($B792,Ref_Acuerdos!$A:$E,5,FALSE()),"Sin FTA/PTA vigente ese año - arancel NMF"),"Sin FTA/PTA identificado - arancel NMF")</f>
        <v>Comunidad Andina (CAN) - libre comercio intracomunitario</v>
      </c>
    </row>
    <row r="793" customFormat="false" ht="15" hidden="false" customHeight="false" outlineLevel="0" collapsed="false">
      <c r="A793" s="2" t="n">
        <v>2021</v>
      </c>
      <c r="B793" s="2" t="s">
        <v>37</v>
      </c>
      <c r="C793" s="4" t="str">
        <f aca="false">IFERROR(VLOOKUP($B793,Ref_Continente!$A:$B,2,FALSE()),"Sin clasificar")</f>
        <v>North America</v>
      </c>
      <c r="D793" s="5" t="n">
        <v>52562</v>
      </c>
      <c r="E793" s="6" t="n">
        <v>14373.5</v>
      </c>
      <c r="F793" s="6" t="n">
        <v>2200</v>
      </c>
      <c r="G793" s="5" t="n">
        <v>94850719516.71</v>
      </c>
      <c r="H793" s="4" t="n">
        <f aca="false">IFERROR(IF(AND(VLOOKUP($B793,Ref_Acuerdos!$A:$E,2,FALSE())="FTA",$A793&gt;=VLOOKUP($B793,Ref_Acuerdos!$A:$E,3,FALSE())),1,0),0)</f>
        <v>0</v>
      </c>
      <c r="I793" s="4" t="n">
        <f aca="false">IFERROR(IF(AND(VLOOKUP($B793,Ref_Acuerdos!$A:$E,2,FALSE())="PTA",$A793&gt;=VLOOKUP($B793,Ref_Acuerdos!$A:$E,3,FALSE())),1,0),0)</f>
        <v>0</v>
      </c>
      <c r="J793" s="7" t="str">
        <f aca="false">IFERROR(IF($A793&gt;=VLOOKUP($B793,Ref_Acuerdos!$A:$E,3,FALSE()),VLOOKUP($B793,Ref_Acuerdos!$A:$E,4,FALSE()),""),"")</f>
        <v/>
      </c>
      <c r="K793" s="4" t="str">
        <f aca="false">IFERROR(IF($A793&gt;=VLOOKUP($B793,Ref_Acuerdos!$A:$E,3,FALSE()),VLOOKUP($B793,Ref_Acuerdos!$A:$E,5,FALSE()),"Sin FTA/PTA vigente ese año - arancel NMF"),"Sin FTA/PTA identificado - arancel NMF")</f>
        <v>Sin FTA/PTA identificado - arancel NMF</v>
      </c>
    </row>
    <row r="794" customFormat="false" ht="15" hidden="false" customHeight="false" outlineLevel="0" collapsed="false">
      <c r="A794" s="2" t="n">
        <v>2021</v>
      </c>
      <c r="B794" s="2" t="s">
        <v>72</v>
      </c>
      <c r="C794" s="4" t="str">
        <f aca="false">IFERROR(VLOOKUP($B794,Ref_Continente!$A:$B,2,FALSE()),"Sin clasificar")</f>
        <v>Europe</v>
      </c>
      <c r="D794" s="5" t="n">
        <v>47652</v>
      </c>
      <c r="E794" s="6" t="n">
        <v>10218.8</v>
      </c>
      <c r="F794" s="6" t="n">
        <v>10200</v>
      </c>
      <c r="G794" s="5" t="n">
        <v>19739875611.49</v>
      </c>
      <c r="H794" s="4" t="n">
        <f aca="false">IFERROR(IF(AND(VLOOKUP($B794,Ref_Acuerdos!$A:$E,2,FALSE())="FTA",$A794&gt;=VLOOKUP($B794,Ref_Acuerdos!$A:$E,3,FALSE())),1,0),0)</f>
        <v>1</v>
      </c>
      <c r="I794" s="4" t="n">
        <f aca="false">IFERROR(IF(AND(VLOOKUP($B794,Ref_Acuerdos!$A:$E,2,FALSE())="PTA",$A794&gt;=VLOOKUP($B794,Ref_Acuerdos!$A:$E,3,FALSE())),1,0),0)</f>
        <v>0</v>
      </c>
      <c r="J794" s="7" t="n">
        <f aca="false">IFERROR(IF($A794&gt;=VLOOKUP($B794,Ref_Acuerdos!$A:$E,3,FALSE()),VLOOKUP($B794,Ref_Acuerdos!$A:$E,4,FALSE()),""),"")</f>
        <v>0</v>
      </c>
      <c r="K794" s="4" t="str">
        <f aca="false">IFERROR(IF($A794&gt;=VLOOKUP($B794,Ref_Acuerdos!$A:$E,3,FALSE()),VLOOKUP($B794,Ref_Acuerdos!$A:$E,5,FALSE()),"Sin FTA/PTA vigente ese año - arancel NMF"),"Sin FTA/PTA identificado - arancel NMF")</f>
        <v>UE-Ecuador Acuerdo Multipartes, vigente desde ene-2017</v>
      </c>
    </row>
    <row r="795" customFormat="false" ht="15" hidden="false" customHeight="false" outlineLevel="0" collapsed="false">
      <c r="A795" s="2" t="n">
        <v>2021</v>
      </c>
      <c r="B795" s="2" t="s">
        <v>95</v>
      </c>
      <c r="C795" s="4" t="str">
        <f aca="false">IFERROR(VLOOKUP($B795,Ref_Continente!$A:$B,2,FALSE()),"Sin clasificar")</f>
        <v>Europe</v>
      </c>
      <c r="D795" s="5" t="n">
        <v>46261</v>
      </c>
      <c r="E795" s="6" t="n">
        <v>11138.5</v>
      </c>
      <c r="F795" s="6" t="n">
        <v>11300</v>
      </c>
      <c r="G795" s="5" t="n">
        <v>285071280114.47</v>
      </c>
      <c r="H795" s="4" t="n">
        <f aca="false">IFERROR(IF(AND(VLOOKUP($B795,Ref_Acuerdos!$A:$E,2,FALSE())="FTA",$A795&gt;=VLOOKUP($B795,Ref_Acuerdos!$A:$E,3,FALSE())),1,0),0)</f>
        <v>1</v>
      </c>
      <c r="I795" s="4" t="n">
        <f aca="false">IFERROR(IF(AND(VLOOKUP($B795,Ref_Acuerdos!$A:$E,2,FALSE())="PTA",$A795&gt;=VLOOKUP($B795,Ref_Acuerdos!$A:$E,3,FALSE())),1,0),0)</f>
        <v>0</v>
      </c>
      <c r="J795" s="7" t="n">
        <f aca="false">IFERROR(IF($A795&gt;=VLOOKUP($B795,Ref_Acuerdos!$A:$E,3,FALSE()),VLOOKUP($B795,Ref_Acuerdos!$A:$E,4,FALSE()),""),"")</f>
        <v>0</v>
      </c>
      <c r="K795" s="4" t="str">
        <f aca="false">IFERROR(IF($A795&gt;=VLOOKUP($B795,Ref_Acuerdos!$A:$E,3,FALSE()),VLOOKUP($B795,Ref_Acuerdos!$A:$E,5,FALSE()),"Sin FTA/PTA vigente ese año - arancel NMF"),"Sin FTA/PTA identificado - arancel NMF")</f>
        <v>UE-Ecuador Acuerdo Multipartes, vigente desde ene-2017</v>
      </c>
    </row>
    <row r="796" customFormat="false" ht="15" hidden="false" customHeight="false" outlineLevel="0" collapsed="false">
      <c r="A796" s="2" t="n">
        <v>2021</v>
      </c>
      <c r="B796" s="2" t="s">
        <v>80</v>
      </c>
      <c r="C796" s="4" t="str">
        <f aca="false">IFERROR(VLOOKUP($B796,Ref_Continente!$A:$B,2,FALSE()),"Sin clasificar")</f>
        <v>North America</v>
      </c>
      <c r="D796" s="5" t="n">
        <v>38680</v>
      </c>
      <c r="E796" s="6" t="n">
        <v>8573.9</v>
      </c>
      <c r="F796" s="6" t="n">
        <v>1730</v>
      </c>
      <c r="G796" s="5" t="n">
        <v>14209020361.85</v>
      </c>
      <c r="H796" s="4" t="n">
        <f aca="false">IFERROR(IF(AND(VLOOKUP($B796,Ref_Acuerdos!$A:$E,2,FALSE())="FTA",$A796&gt;=VLOOKUP($B796,Ref_Acuerdos!$A:$E,3,FALSE())),1,0),0)</f>
        <v>0</v>
      </c>
      <c r="I796" s="4" t="n">
        <f aca="false">IFERROR(IF(AND(VLOOKUP($B796,Ref_Acuerdos!$A:$E,2,FALSE())="PTA",$A796&gt;=VLOOKUP($B796,Ref_Acuerdos!$A:$E,3,FALSE())),1,0),0)</f>
        <v>1</v>
      </c>
      <c r="J796" s="7" t="n">
        <f aca="false">IFERROR(IF($A796&gt;=VLOOKUP($B796,Ref_Acuerdos!$A:$E,3,FALSE()),VLOOKUP($B796,Ref_Acuerdos!$A:$E,4,FALSE()),""),"")</f>
        <v>10</v>
      </c>
      <c r="K796" s="4" t="str">
        <f aca="false">IFERROR(IF($A796&gt;=VLOOKUP($B796,Ref_Acuerdos!$A:$E,3,FALSE()),VLOOKUP($B796,Ref_Acuerdos!$A:$E,5,FALSE()),"Sin FTA/PTA vigente ese año - arancel NMF"),"Sin FTA/PTA identificado - arancel NMF")</f>
        <v>ALADI - Acuerdo de Alcance Parcial (preferencia limitada, tarifa referencial)</v>
      </c>
    </row>
    <row r="797" customFormat="false" ht="15" hidden="false" customHeight="false" outlineLevel="0" collapsed="false">
      <c r="A797" s="2" t="n">
        <v>2021</v>
      </c>
      <c r="B797" s="2" t="s">
        <v>68</v>
      </c>
      <c r="C797" s="4" t="str">
        <f aca="false">IFERROR(VLOOKUP($B797,Ref_Continente!$A:$B,2,FALSE()),"Sin clasificar")</f>
        <v>Europe</v>
      </c>
      <c r="D797" s="5" t="n">
        <v>38636</v>
      </c>
      <c r="E797" s="6" t="n">
        <v>8088.1</v>
      </c>
      <c r="F797" s="6" t="n">
        <v>10250</v>
      </c>
      <c r="G797" s="5" t="n">
        <v>67037321008.97</v>
      </c>
      <c r="H797" s="4" t="n">
        <f aca="false">IFERROR(IF(AND(VLOOKUP($B797,Ref_Acuerdos!$A:$E,2,FALSE())="FTA",$A797&gt;=VLOOKUP($B797,Ref_Acuerdos!$A:$E,3,FALSE())),1,0),0)</f>
        <v>1</v>
      </c>
      <c r="I797" s="4" t="n">
        <f aca="false">IFERROR(IF(AND(VLOOKUP($B797,Ref_Acuerdos!$A:$E,2,FALSE())="PTA",$A797&gt;=VLOOKUP($B797,Ref_Acuerdos!$A:$E,3,FALSE())),1,0),0)</f>
        <v>0</v>
      </c>
      <c r="J797" s="7" t="n">
        <f aca="false">IFERROR(IF($A797&gt;=VLOOKUP($B797,Ref_Acuerdos!$A:$E,3,FALSE()),VLOOKUP($B797,Ref_Acuerdos!$A:$E,4,FALSE()),""),"")</f>
        <v>0</v>
      </c>
      <c r="K797" s="4" t="str">
        <f aca="false">IFERROR(IF($A797&gt;=VLOOKUP($B797,Ref_Acuerdos!$A:$E,3,FALSE()),VLOOKUP($B797,Ref_Acuerdos!$A:$E,5,FALSE()),"Sin FTA/PTA vigente ese año - arancel NMF"),"Sin FTA/PTA identificado - arancel NMF")</f>
        <v>UE-Ecuador Acuerdo Multipartes, vigente desde ene-2017</v>
      </c>
    </row>
    <row r="798" customFormat="false" ht="15" hidden="false" customHeight="false" outlineLevel="0" collapsed="false">
      <c r="A798" s="2" t="n">
        <v>2021</v>
      </c>
      <c r="B798" s="2" t="s">
        <v>94</v>
      </c>
      <c r="C798" s="4" t="str">
        <f aca="false">IFERROR(VLOOKUP($B798,Ref_Continente!$A:$B,2,FALSE()),"Sin clasificar")</f>
        <v>Europe</v>
      </c>
      <c r="D798" s="5" t="n">
        <v>36100</v>
      </c>
      <c r="E798" s="6" t="n">
        <v>8902.7</v>
      </c>
      <c r="F798" s="6" t="n">
        <v>11000</v>
      </c>
      <c r="G798" s="5" t="n">
        <v>13691869264.08</v>
      </c>
      <c r="H798" s="4" t="n">
        <f aca="false">IFERROR(IF(AND(VLOOKUP($B798,Ref_Acuerdos!$A:$E,2,FALSE())="FTA",$A798&gt;=VLOOKUP($B798,Ref_Acuerdos!$A:$E,3,FALSE())),1,0),0)</f>
        <v>0</v>
      </c>
      <c r="I798" s="4" t="n">
        <f aca="false">IFERROR(IF(AND(VLOOKUP($B798,Ref_Acuerdos!$A:$E,2,FALSE())="PTA",$A798&gt;=VLOOKUP($B798,Ref_Acuerdos!$A:$E,3,FALSE())),1,0),0)</f>
        <v>0</v>
      </c>
      <c r="J798" s="7" t="str">
        <f aca="false">IFERROR(IF($A798&gt;=VLOOKUP($B798,Ref_Acuerdos!$A:$E,3,FALSE()),VLOOKUP($B798,Ref_Acuerdos!$A:$E,4,FALSE()),""),"")</f>
        <v/>
      </c>
      <c r="K798" s="4" t="str">
        <f aca="false">IFERROR(IF($A798&gt;=VLOOKUP($B798,Ref_Acuerdos!$A:$E,3,FALSE()),VLOOKUP($B798,Ref_Acuerdos!$A:$E,5,FALSE()),"Sin FTA/PTA vigente ese año - arancel NMF"),"Sin FTA/PTA identificado - arancel NMF")</f>
        <v>Sin FTA/PTA identificado - arancel NMF</v>
      </c>
    </row>
    <row r="799" customFormat="false" ht="15" hidden="false" customHeight="false" outlineLevel="0" collapsed="false">
      <c r="A799" s="2" t="n">
        <v>2021</v>
      </c>
      <c r="B799" s="2" t="s">
        <v>39</v>
      </c>
      <c r="C799" s="4" t="str">
        <f aca="false">IFERROR(VLOOKUP($B799,Ref_Continente!$A:$B,2,FALSE()),"Sin clasificar")</f>
        <v>North America</v>
      </c>
      <c r="D799" s="5" t="n">
        <v>34870</v>
      </c>
      <c r="E799" s="6" t="n">
        <v>8516.7</v>
      </c>
      <c r="F799" s="6" t="n">
        <v>2000</v>
      </c>
      <c r="G799" s="5" t="n">
        <v>29043140000</v>
      </c>
      <c r="H799" s="4" t="n">
        <f aca="false">IFERROR(IF(AND(VLOOKUP($B799,Ref_Acuerdos!$A:$E,2,FALSE())="FTA",$A799&gt;=VLOOKUP($B799,Ref_Acuerdos!$A:$E,3,FALSE())),1,0),0)</f>
        <v>0</v>
      </c>
      <c r="I799" s="4" t="n">
        <f aca="false">IFERROR(IF(AND(VLOOKUP($B799,Ref_Acuerdos!$A:$E,2,FALSE())="PTA",$A799&gt;=VLOOKUP($B799,Ref_Acuerdos!$A:$E,3,FALSE())),1,0),0)</f>
        <v>0</v>
      </c>
      <c r="J799" s="7" t="str">
        <f aca="false">IFERROR(IF($A799&gt;=VLOOKUP($B799,Ref_Acuerdos!$A:$E,3,FALSE()),VLOOKUP($B799,Ref_Acuerdos!$A:$E,4,FALSE()),""),"")</f>
        <v/>
      </c>
      <c r="K799" s="4" t="str">
        <f aca="false">IFERROR(IF($A799&gt;=VLOOKUP($B799,Ref_Acuerdos!$A:$E,3,FALSE()),VLOOKUP($B799,Ref_Acuerdos!$A:$E,5,FALSE()),"Sin FTA/PTA vigente ese año - arancel NMF"),"Sin FTA/PTA identificado - arancel NMF")</f>
        <v>Sin FTA/PTA identificado - arancel NMF</v>
      </c>
    </row>
    <row r="800" customFormat="false" ht="15" hidden="false" customHeight="false" outlineLevel="0" collapsed="false">
      <c r="A800" s="2" t="n">
        <v>2021</v>
      </c>
      <c r="B800" s="2" t="s">
        <v>35</v>
      </c>
      <c r="C800" s="4" t="str">
        <f aca="false">IFERROR(VLOOKUP($B800,Ref_Continente!$A:$B,2,FALSE()),"Sin clasificar")</f>
        <v>Europe</v>
      </c>
      <c r="D800" s="5" t="n">
        <v>31841</v>
      </c>
      <c r="E800" s="6" t="n">
        <v>8943.3</v>
      </c>
      <c r="F800" s="6" t="n">
        <v>10100</v>
      </c>
      <c r="G800" s="5" t="n">
        <v>290972714482.31</v>
      </c>
      <c r="H800" s="4" t="n">
        <f aca="false">IFERROR(IF(AND(VLOOKUP($B800,Ref_Acuerdos!$A:$E,2,FALSE())="FTA",$A800&gt;=VLOOKUP($B800,Ref_Acuerdos!$A:$E,3,FALSE())),1,0),0)</f>
        <v>1</v>
      </c>
      <c r="I800" s="4" t="n">
        <f aca="false">IFERROR(IF(AND(VLOOKUP($B800,Ref_Acuerdos!$A:$E,2,FALSE())="PTA",$A800&gt;=VLOOKUP($B800,Ref_Acuerdos!$A:$E,3,FALSE())),1,0),0)</f>
        <v>0</v>
      </c>
      <c r="J800" s="7" t="n">
        <f aca="false">IFERROR(IF($A800&gt;=VLOOKUP($B800,Ref_Acuerdos!$A:$E,3,FALSE()),VLOOKUP($B800,Ref_Acuerdos!$A:$E,4,FALSE()),""),"")</f>
        <v>0</v>
      </c>
      <c r="K800" s="4" t="str">
        <f aca="false">IFERROR(IF($A800&gt;=VLOOKUP($B800,Ref_Acuerdos!$A:$E,3,FALSE()),VLOOKUP($B800,Ref_Acuerdos!$A:$E,5,FALSE()),"Sin FTA/PTA vigente ese año - arancel NMF"),"Sin FTA/PTA identificado - arancel NMF")</f>
        <v>UE-Ecuador Acuerdo Multipartes, vigente desde ene-2017</v>
      </c>
    </row>
    <row r="801" customFormat="false" ht="15" hidden="false" customHeight="false" outlineLevel="0" collapsed="false">
      <c r="A801" s="2" t="n">
        <v>2021</v>
      </c>
      <c r="B801" s="2" t="s">
        <v>111</v>
      </c>
      <c r="C801" s="4" t="str">
        <f aca="false">IFERROR(VLOOKUP($B801,Ref_Continente!$A:$B,2,FALSE()),"Sin clasificar")</f>
        <v>North America</v>
      </c>
      <c r="D801" s="5" t="n">
        <v>31350</v>
      </c>
      <c r="E801" s="6" t="n">
        <v>5450.5</v>
      </c>
      <c r="F801" s="6" t="n">
        <v>2530</v>
      </c>
      <c r="G801" s="5" t="n">
        <v>24222963262.72</v>
      </c>
      <c r="H801" s="4" t="n">
        <f aca="false">IFERROR(IF(AND(VLOOKUP($B801,Ref_Acuerdos!$A:$E,2,FALSE())="FTA",$A801&gt;=VLOOKUP($B801,Ref_Acuerdos!$A:$E,3,FALSE())),1,0),0)</f>
        <v>0</v>
      </c>
      <c r="I801" s="4" t="n">
        <f aca="false">IFERROR(IF(AND(VLOOKUP($B801,Ref_Acuerdos!$A:$E,2,FALSE())="PTA",$A801&gt;=VLOOKUP($B801,Ref_Acuerdos!$A:$E,3,FALSE())),1,0),0)</f>
        <v>0</v>
      </c>
      <c r="J801" s="7" t="str">
        <f aca="false">IFERROR(IF($A801&gt;=VLOOKUP($B801,Ref_Acuerdos!$A:$E,3,FALSE()),VLOOKUP($B801,Ref_Acuerdos!$A:$E,4,FALSE()),""),"")</f>
        <v/>
      </c>
      <c r="K801" s="4" t="str">
        <f aca="false">IFERROR(IF($A801&gt;=VLOOKUP($B801,Ref_Acuerdos!$A:$E,3,FALSE()),VLOOKUP($B801,Ref_Acuerdos!$A:$E,5,FALSE()),"Sin FTA/PTA vigente ese año - arancel NMF"),"Sin FTA/PTA identificado - arancel NMF")</f>
        <v>Sin FTA/PTA identificado - arancel NMF</v>
      </c>
    </row>
    <row r="802" customFormat="false" ht="15" hidden="false" customHeight="false" outlineLevel="0" collapsed="false">
      <c r="A802" s="2" t="n">
        <v>2021</v>
      </c>
      <c r="B802" s="2" t="s">
        <v>66</v>
      </c>
      <c r="C802" s="4" t="str">
        <f aca="false">IFERROR(VLOOKUP($B802,Ref_Continente!$A:$B,2,FALSE()),"Sin clasificar")</f>
        <v>Europe</v>
      </c>
      <c r="D802" s="5" t="n">
        <v>30837</v>
      </c>
      <c r="E802" s="6" t="n">
        <v>8023.5</v>
      </c>
      <c r="F802" s="6" t="n">
        <v>10400</v>
      </c>
      <c r="G802" s="5" t="n">
        <v>38183326784.93</v>
      </c>
      <c r="H802" s="4" t="n">
        <f aca="false">IFERROR(IF(AND(VLOOKUP($B802,Ref_Acuerdos!$A:$E,2,FALSE())="FTA",$A802&gt;=VLOOKUP($B802,Ref_Acuerdos!$A:$E,3,FALSE())),1,0),0)</f>
        <v>1</v>
      </c>
      <c r="I802" s="4" t="n">
        <f aca="false">IFERROR(IF(AND(VLOOKUP($B802,Ref_Acuerdos!$A:$E,2,FALSE())="PTA",$A802&gt;=VLOOKUP($B802,Ref_Acuerdos!$A:$E,3,FALSE())),1,0),0)</f>
        <v>0</v>
      </c>
      <c r="J802" s="7" t="n">
        <f aca="false">IFERROR(IF($A802&gt;=VLOOKUP($B802,Ref_Acuerdos!$A:$E,3,FALSE()),VLOOKUP($B802,Ref_Acuerdos!$A:$E,4,FALSE()),""),"")</f>
        <v>0</v>
      </c>
      <c r="K802" s="4" t="str">
        <f aca="false">IFERROR(IF($A802&gt;=VLOOKUP($B802,Ref_Acuerdos!$A:$E,3,FALSE()),VLOOKUP($B802,Ref_Acuerdos!$A:$E,5,FALSE()),"Sin FTA/PTA vigente ese año - arancel NMF"),"Sin FTA/PTA identificado - arancel NMF")</f>
        <v>UE-Ecuador Acuerdo Multipartes, vigente desde ene-2017</v>
      </c>
    </row>
    <row r="803" customFormat="false" ht="15" hidden="false" customHeight="false" outlineLevel="0" collapsed="false">
      <c r="A803" s="2" t="n">
        <v>2021</v>
      </c>
      <c r="B803" s="2" t="s">
        <v>92</v>
      </c>
      <c r="C803" s="4" t="str">
        <f aca="false">IFERROR(VLOOKUP($B803,Ref_Continente!$A:$B,2,FALSE()),"Sin clasificar")</f>
        <v>Asia</v>
      </c>
      <c r="D803" s="5" t="n">
        <v>30774</v>
      </c>
      <c r="E803" s="6" t="n">
        <v>5332.9</v>
      </c>
      <c r="F803" s="6" t="n">
        <v>14000</v>
      </c>
      <c r="G803" s="5" t="n">
        <v>179732142857.14</v>
      </c>
      <c r="H803" s="4" t="n">
        <f aca="false">IFERROR(IF(AND(VLOOKUP($B803,Ref_Acuerdos!$A:$E,2,FALSE())="FTA",$A803&gt;=VLOOKUP($B803,Ref_Acuerdos!$A:$E,3,FALSE())),1,0),0)</f>
        <v>0</v>
      </c>
      <c r="I803" s="4" t="n">
        <f aca="false">IFERROR(IF(AND(VLOOKUP($B803,Ref_Acuerdos!$A:$E,2,FALSE())="PTA",$A803&gt;=VLOOKUP($B803,Ref_Acuerdos!$A:$E,3,FALSE())),1,0),0)</f>
        <v>0</v>
      </c>
      <c r="J803" s="7" t="str">
        <f aca="false">IFERROR(IF($A803&gt;=VLOOKUP($B803,Ref_Acuerdos!$A:$E,3,FALSE()),VLOOKUP($B803,Ref_Acuerdos!$A:$E,4,FALSE()),""),"")</f>
        <v/>
      </c>
      <c r="K803" s="4" t="str">
        <f aca="false">IFERROR(IF($A803&gt;=VLOOKUP($B803,Ref_Acuerdos!$A:$E,3,FALSE()),VLOOKUP($B803,Ref_Acuerdos!$A:$E,5,FALSE()),"Sin FTA/PTA vigente ese año - arancel NMF"),"Sin FTA/PTA identificado - arancel NMF")</f>
        <v>Sin FTA/PTA identificado - arancel NMF</v>
      </c>
    </row>
    <row r="804" customFormat="false" ht="15" hidden="false" customHeight="false" outlineLevel="0" collapsed="false">
      <c r="A804" s="2" t="n">
        <v>2021</v>
      </c>
      <c r="B804" s="2" t="s">
        <v>59</v>
      </c>
      <c r="C804" s="4" t="str">
        <f aca="false">IFERROR(VLOOKUP($B804,Ref_Continente!$A:$B,2,FALSE()),"Sin clasificar")</f>
        <v>Europe</v>
      </c>
      <c r="D804" s="5" t="n">
        <v>30769</v>
      </c>
      <c r="E804" s="6" t="n">
        <v>5362.3</v>
      </c>
      <c r="F804" s="6" t="n">
        <v>10100</v>
      </c>
      <c r="G804" s="5" t="n">
        <v>2179207773596.09</v>
      </c>
      <c r="H804" s="4" t="n">
        <f aca="false">IFERROR(IF(AND(VLOOKUP($B804,Ref_Acuerdos!$A:$E,2,FALSE())="FTA",$A804&gt;=VLOOKUP($B804,Ref_Acuerdos!$A:$E,3,FALSE())),1,0),0)</f>
        <v>1</v>
      </c>
      <c r="I804" s="4" t="n">
        <f aca="false">IFERROR(IF(AND(VLOOKUP($B804,Ref_Acuerdos!$A:$E,2,FALSE())="PTA",$A804&gt;=VLOOKUP($B804,Ref_Acuerdos!$A:$E,3,FALSE())),1,0),0)</f>
        <v>0</v>
      </c>
      <c r="J804" s="7" t="n">
        <f aca="false">IFERROR(IF($A804&gt;=VLOOKUP($B804,Ref_Acuerdos!$A:$E,3,FALSE()),VLOOKUP($B804,Ref_Acuerdos!$A:$E,4,FALSE()),""),"")</f>
        <v>0</v>
      </c>
      <c r="K804" s="4" t="str">
        <f aca="false">IFERROR(IF($A804&gt;=VLOOKUP($B804,Ref_Acuerdos!$A:$E,3,FALSE()),VLOOKUP($B804,Ref_Acuerdos!$A:$E,5,FALSE()),"Sin FTA/PTA vigente ese año - arancel NMF"),"Sin FTA/PTA identificado - arancel NMF")</f>
        <v>UE-Ecuador Acuerdo Multipartes, vigente desde ene-2017</v>
      </c>
    </row>
    <row r="805" customFormat="false" ht="15" hidden="false" customHeight="false" outlineLevel="0" collapsed="false">
      <c r="A805" s="2" t="n">
        <v>2021</v>
      </c>
      <c r="B805" s="2" t="s">
        <v>45</v>
      </c>
      <c r="C805" s="4" t="str">
        <f aca="false">IFERROR(VLOOKUP($B805,Ref_Continente!$A:$B,2,FALSE()),"Sin clasificar")</f>
        <v>Europe</v>
      </c>
      <c r="D805" s="5" t="n">
        <v>20859</v>
      </c>
      <c r="E805" s="6" t="n">
        <v>3863</v>
      </c>
      <c r="F805" s="6" t="n">
        <v>9650</v>
      </c>
      <c r="G805" s="5" t="n">
        <v>4355251953410.78</v>
      </c>
      <c r="H805" s="4" t="n">
        <f aca="false">IFERROR(IF(AND(VLOOKUP($B805,Ref_Acuerdos!$A:$E,2,FALSE())="FTA",$A805&gt;=VLOOKUP($B805,Ref_Acuerdos!$A:$E,3,FALSE())),1,0),0)</f>
        <v>1</v>
      </c>
      <c r="I805" s="4" t="n">
        <f aca="false">IFERROR(IF(AND(VLOOKUP($B805,Ref_Acuerdos!$A:$E,2,FALSE())="PTA",$A805&gt;=VLOOKUP($B805,Ref_Acuerdos!$A:$E,3,FALSE())),1,0),0)</f>
        <v>0</v>
      </c>
      <c r="J805" s="7" t="n">
        <f aca="false">IFERROR(IF($A805&gt;=VLOOKUP($B805,Ref_Acuerdos!$A:$E,3,FALSE()),VLOOKUP($B805,Ref_Acuerdos!$A:$E,4,FALSE()),""),"")</f>
        <v>0</v>
      </c>
      <c r="K805" s="4" t="str">
        <f aca="false">IFERROR(IF($A805&gt;=VLOOKUP($B805,Ref_Acuerdos!$A:$E,3,FALSE()),VLOOKUP($B805,Ref_Acuerdos!$A:$E,5,FALSE()),"Sin FTA/PTA vigente ese año - arancel NMF"),"Sin FTA/PTA identificado - arancel NMF")</f>
        <v>UE-Ecuador Acuerdo Multipartes, vigente desde ene-2017</v>
      </c>
    </row>
    <row r="806" customFormat="false" ht="15" hidden="false" customHeight="false" outlineLevel="0" collapsed="false">
      <c r="A806" s="2" t="n">
        <v>2021</v>
      </c>
      <c r="B806" s="2" t="s">
        <v>60</v>
      </c>
      <c r="C806" s="4" t="str">
        <f aca="false">IFERROR(VLOOKUP($B806,Ref_Continente!$A:$B,2,FALSE()),"Sin clasificar")</f>
        <v>North America</v>
      </c>
      <c r="D806" s="5" t="n">
        <v>18993</v>
      </c>
      <c r="E806" s="6" t="n">
        <v>3953.1</v>
      </c>
      <c r="F806" s="6" t="n">
        <v>1900</v>
      </c>
      <c r="G806" s="5" t="n">
        <v>15963885376.35</v>
      </c>
      <c r="H806" s="4" t="n">
        <f aca="false">IFERROR(IF(AND(VLOOKUP($B806,Ref_Acuerdos!$A:$E,2,FALSE())="FTA",$A806&gt;=VLOOKUP($B806,Ref_Acuerdos!$A:$E,3,FALSE())),1,0),0)</f>
        <v>0</v>
      </c>
      <c r="I806" s="4" t="n">
        <f aca="false">IFERROR(IF(AND(VLOOKUP($B806,Ref_Acuerdos!$A:$E,2,FALSE())="PTA",$A806&gt;=VLOOKUP($B806,Ref_Acuerdos!$A:$E,3,FALSE())),1,0),0)</f>
        <v>0</v>
      </c>
      <c r="J806" s="7" t="str">
        <f aca="false">IFERROR(IF($A806&gt;=VLOOKUP($B806,Ref_Acuerdos!$A:$E,3,FALSE()),VLOOKUP($B806,Ref_Acuerdos!$A:$E,4,FALSE()),""),"")</f>
        <v/>
      </c>
      <c r="K806" s="4" t="str">
        <f aca="false">IFERROR(IF($A806&gt;=VLOOKUP($B806,Ref_Acuerdos!$A:$E,3,FALSE()),VLOOKUP($B806,Ref_Acuerdos!$A:$E,5,FALSE()),"Sin FTA/PTA vigente ese año - arancel NMF"),"Sin FTA/PTA identificado - arancel NMF")</f>
        <v>Sin FTA/PTA identificado - arancel NMF</v>
      </c>
    </row>
    <row r="807" customFormat="false" ht="15" hidden="false" customHeight="false" outlineLevel="0" collapsed="false">
      <c r="A807" s="2" t="n">
        <v>2021</v>
      </c>
      <c r="B807" s="2" t="s">
        <v>116</v>
      </c>
      <c r="C807" s="4" t="str">
        <f aca="false">IFERROR(VLOOKUP($B807,Ref_Continente!$A:$B,2,FALSE()),"Sin clasificar")</f>
        <v>Asia</v>
      </c>
      <c r="D807" s="5" t="n">
        <v>17496</v>
      </c>
      <c r="E807" s="6" t="n">
        <v>3381.7</v>
      </c>
      <c r="F807" s="6" t="n">
        <v>14200</v>
      </c>
      <c r="G807" s="5" t="n">
        <v>422441388699.8</v>
      </c>
      <c r="H807" s="4" t="n">
        <f aca="false">IFERROR(IF(AND(VLOOKUP($B807,Ref_Acuerdos!$A:$E,2,FALSE())="FTA",$A807&gt;=VLOOKUP($B807,Ref_Acuerdos!$A:$E,3,FALSE())),1,0),0)</f>
        <v>0</v>
      </c>
      <c r="I807" s="4" t="n">
        <f aca="false">IFERROR(IF(AND(VLOOKUP($B807,Ref_Acuerdos!$A:$E,2,FALSE())="PTA",$A807&gt;=VLOOKUP($B807,Ref_Acuerdos!$A:$E,3,FALSE())),1,0),0)</f>
        <v>0</v>
      </c>
      <c r="J807" s="7" t="str">
        <f aca="false">IFERROR(IF($A807&gt;=VLOOKUP($B807,Ref_Acuerdos!$A:$E,3,FALSE()),VLOOKUP($B807,Ref_Acuerdos!$A:$E,4,FALSE()),""),"")</f>
        <v/>
      </c>
      <c r="K807" s="4" t="str">
        <f aca="false">IFERROR(IF($A807&gt;=VLOOKUP($B807,Ref_Acuerdos!$A:$E,3,FALSE()),VLOOKUP($B807,Ref_Acuerdos!$A:$E,5,FALSE()),"Sin FTA/PTA vigente ese año - arancel NMF"),"Sin FTA/PTA identificado - arancel NMF")</f>
        <v>Sin FTA/PTA identificado - arancel NMF</v>
      </c>
    </row>
    <row r="808" customFormat="false" ht="15" hidden="false" customHeight="false" outlineLevel="0" collapsed="false">
      <c r="A808" s="2" t="n">
        <v>2021</v>
      </c>
      <c r="B808" s="2" t="s">
        <v>117</v>
      </c>
      <c r="C808" s="4" t="str">
        <f aca="false">IFERROR(VLOOKUP($B808,Ref_Continente!$A:$B,2,FALSE()),"Sin clasificar")</f>
        <v>Europe</v>
      </c>
      <c r="D808" s="5" t="n">
        <v>16400</v>
      </c>
      <c r="E808" s="6" t="n">
        <v>2662.9</v>
      </c>
      <c r="F808" s="6" t="n">
        <v>9200</v>
      </c>
      <c r="G808" s="5" t="n">
        <v>3194559188925.93</v>
      </c>
      <c r="H808" s="4" t="n">
        <f aca="false">IFERROR(IF(AND(VLOOKUP($B808,Ref_Acuerdos!$A:$E,2,FALSE())="FTA",$A808&gt;=VLOOKUP($B808,Ref_Acuerdos!$A:$E,3,FALSE())),1,0),0)</f>
        <v>1</v>
      </c>
      <c r="I808" s="4" t="n">
        <f aca="false">IFERROR(IF(AND(VLOOKUP($B808,Ref_Acuerdos!$A:$E,2,FALSE())="PTA",$A808&gt;=VLOOKUP($B808,Ref_Acuerdos!$A:$E,3,FALSE())),1,0),0)</f>
        <v>0</v>
      </c>
      <c r="J808" s="7" t="n">
        <f aca="false">IFERROR(IF($A808&gt;=VLOOKUP($B808,Ref_Acuerdos!$A:$E,3,FALSE()),VLOOKUP($B808,Ref_Acuerdos!$A:$E,4,FALSE()),""),"")</f>
        <v>0</v>
      </c>
      <c r="K808" s="4" t="str">
        <f aca="false">IFERROR(IF($A808&gt;=VLOOKUP($B808,Ref_Acuerdos!$A:$E,3,FALSE()),VLOOKUP($B808,Ref_Acuerdos!$A:$E,5,FALSE()),"Sin FTA/PTA vigente ese año - arancel NMF"),"Sin FTA/PTA identificado - arancel NMF")</f>
        <v>Acuerdo de Continuidad Comercial Ecuador-Reino Unido (post-Brexit), vigente desde 2021</v>
      </c>
    </row>
    <row r="809" customFormat="false" ht="15" hidden="false" customHeight="false" outlineLevel="0" collapsed="false">
      <c r="A809" s="2" t="n">
        <v>2021</v>
      </c>
      <c r="B809" s="2" t="s">
        <v>91</v>
      </c>
      <c r="C809" s="4" t="str">
        <f aca="false">IFERROR(VLOOKUP($B809,Ref_Continente!$A:$B,2,FALSE()),"Sin clasificar")</f>
        <v>Europe</v>
      </c>
      <c r="D809" s="5" t="n">
        <v>14730</v>
      </c>
      <c r="E809" s="6" t="n">
        <v>2588</v>
      </c>
      <c r="F809" s="6" t="n">
        <v>8700</v>
      </c>
      <c r="G809" s="5" t="n">
        <v>256055879091.14</v>
      </c>
      <c r="H809" s="4" t="n">
        <f aca="false">IFERROR(IF(AND(VLOOKUP($B809,Ref_Acuerdos!$A:$E,2,FALSE())="FTA",$A809&gt;=VLOOKUP($B809,Ref_Acuerdos!$A:$E,3,FALSE())),1,0),0)</f>
        <v>1</v>
      </c>
      <c r="I809" s="4" t="n">
        <f aca="false">IFERROR(IF(AND(VLOOKUP($B809,Ref_Acuerdos!$A:$E,2,FALSE())="PTA",$A809&gt;=VLOOKUP($B809,Ref_Acuerdos!$A:$E,3,FALSE())),1,0),0)</f>
        <v>0</v>
      </c>
      <c r="J809" s="7" t="n">
        <f aca="false">IFERROR(IF($A809&gt;=VLOOKUP($B809,Ref_Acuerdos!$A:$E,3,FALSE()),VLOOKUP($B809,Ref_Acuerdos!$A:$E,4,FALSE()),""),"")</f>
        <v>0</v>
      </c>
      <c r="K809" s="4" t="str">
        <f aca="false">IFERROR(IF($A809&gt;=VLOOKUP($B809,Ref_Acuerdos!$A:$E,3,FALSE()),VLOOKUP($B809,Ref_Acuerdos!$A:$E,5,FALSE()),"Sin FTA/PTA vigente ese año - arancel NMF"),"Sin FTA/PTA identificado - arancel NMF")</f>
        <v>UE-Ecuador Acuerdo Multipartes, vigente desde ene-2017</v>
      </c>
    </row>
    <row r="810" customFormat="false" ht="15" hidden="false" customHeight="false" outlineLevel="0" collapsed="false">
      <c r="A810" s="2" t="n">
        <v>2021</v>
      </c>
      <c r="B810" s="2" t="s">
        <v>64</v>
      </c>
      <c r="C810" s="4" t="str">
        <f aca="false">IFERROR(VLOOKUP($B810,Ref_Continente!$A:$B,2,FALSE()),"Sin clasificar")</f>
        <v>Asia</v>
      </c>
      <c r="D810" s="5" t="n">
        <v>8826</v>
      </c>
      <c r="E810" s="6" t="n">
        <v>1129.9</v>
      </c>
      <c r="F810" s="6" t="n">
        <v>13500</v>
      </c>
      <c r="G810" s="5" t="n">
        <v>148350671489.14</v>
      </c>
      <c r="H810" s="4" t="n">
        <f aca="false">IFERROR(IF(AND(VLOOKUP($B810,Ref_Acuerdos!$A:$E,2,FALSE())="FTA",$A810&gt;=VLOOKUP($B810,Ref_Acuerdos!$A:$E,3,FALSE())),1,0),0)</f>
        <v>0</v>
      </c>
      <c r="I810" s="4" t="n">
        <f aca="false">IFERROR(IF(AND(VLOOKUP($B810,Ref_Acuerdos!$A:$E,2,FALSE())="PTA",$A810&gt;=VLOOKUP($B810,Ref_Acuerdos!$A:$E,3,FALSE())),1,0),0)</f>
        <v>0</v>
      </c>
      <c r="J810" s="7" t="str">
        <f aca="false">IFERROR(IF($A810&gt;=VLOOKUP($B810,Ref_Acuerdos!$A:$E,3,FALSE()),VLOOKUP($B810,Ref_Acuerdos!$A:$E,4,FALSE()),""),"")</f>
        <v/>
      </c>
      <c r="K810" s="4" t="str">
        <f aca="false">IFERROR(IF($A810&gt;=VLOOKUP($B810,Ref_Acuerdos!$A:$E,3,FALSE()),VLOOKUP($B810,Ref_Acuerdos!$A:$E,5,FALSE()),"Sin FTA/PTA vigente ese año - arancel NMF"),"Sin FTA/PTA identificado - arancel NMF")</f>
        <v>Sin FTA/PTA identificado - arancel NMF</v>
      </c>
    </row>
    <row r="811" customFormat="false" ht="15" hidden="false" customHeight="false" outlineLevel="0" collapsed="false">
      <c r="A811" s="2" t="n">
        <v>2021</v>
      </c>
      <c r="B811" s="2" t="s">
        <v>108</v>
      </c>
      <c r="C811" s="4" t="str">
        <f aca="false">IFERROR(VLOOKUP($B811,Ref_Continente!$A:$B,2,FALSE()),"Sin clasificar")</f>
        <v>Europe</v>
      </c>
      <c r="D811" s="5" t="n">
        <v>8157</v>
      </c>
      <c r="E811" s="6" t="n">
        <v>1020.3</v>
      </c>
      <c r="F811" s="6" t="n">
        <v>9800</v>
      </c>
      <c r="G811" s="5" t="n">
        <v>815309330986.72</v>
      </c>
      <c r="H811" s="4" t="n">
        <f aca="false">IFERROR(IF(AND(VLOOKUP($B811,Ref_Acuerdos!$A:$E,2,FALSE())="FTA",$A811&gt;=VLOOKUP($B811,Ref_Acuerdos!$A:$E,3,FALSE())),1,0),0)</f>
        <v>1</v>
      </c>
      <c r="I811" s="4" t="n">
        <f aca="false">IFERROR(IF(AND(VLOOKUP($B811,Ref_Acuerdos!$A:$E,2,FALSE())="PTA",$A811&gt;=VLOOKUP($B811,Ref_Acuerdos!$A:$E,3,FALSE())),1,0),0)</f>
        <v>0</v>
      </c>
      <c r="J811" s="7" t="n">
        <f aca="false">IFERROR(IF($A811&gt;=VLOOKUP($B811,Ref_Acuerdos!$A:$E,3,FALSE()),VLOOKUP($B811,Ref_Acuerdos!$A:$E,4,FALSE()),""),"")</f>
        <v>0</v>
      </c>
      <c r="K811" s="4" t="str">
        <f aca="false">IFERROR(IF($A811&gt;=VLOOKUP($B811,Ref_Acuerdos!$A:$E,3,FALSE()),VLOOKUP($B811,Ref_Acuerdos!$A:$E,5,FALSE()),"Sin FTA/PTA vigente ese año - arancel NMF"),"Sin FTA/PTA identificado - arancel NMF")</f>
        <v>EFTA-Ecuador, vigente desde nov-2020</v>
      </c>
    </row>
    <row r="812" customFormat="false" ht="15" hidden="false" customHeight="false" outlineLevel="0" collapsed="false">
      <c r="A812" s="2" t="n">
        <v>2021</v>
      </c>
      <c r="B812" s="2" t="s">
        <v>54</v>
      </c>
      <c r="C812" s="4" t="str">
        <f aca="false">IFERROR(VLOOKUP($B812,Ref_Continente!$A:$B,2,FALSE()),"Sin clasificar")</f>
        <v>Asia</v>
      </c>
      <c r="D812" s="5" t="n">
        <v>7495</v>
      </c>
      <c r="E812" s="6" t="n">
        <v>1577.4</v>
      </c>
      <c r="F812" s="6" t="n">
        <v>19300</v>
      </c>
      <c r="G812" s="5" t="n">
        <v>1186509691086.73</v>
      </c>
      <c r="H812" s="4" t="n">
        <f aca="false">IFERROR(IF(AND(VLOOKUP($B812,Ref_Acuerdos!$A:$E,2,FALSE())="FTA",$A812&gt;=VLOOKUP($B812,Ref_Acuerdos!$A:$E,3,FALSE())),1,0),0)</f>
        <v>0</v>
      </c>
      <c r="I812" s="4" t="n">
        <f aca="false">IFERROR(IF(AND(VLOOKUP($B812,Ref_Acuerdos!$A:$E,2,FALSE())="PTA",$A812&gt;=VLOOKUP($B812,Ref_Acuerdos!$A:$E,3,FALSE())),1,0),0)</f>
        <v>0</v>
      </c>
      <c r="J812" s="7" t="str">
        <f aca="false">IFERROR(IF($A812&gt;=VLOOKUP($B812,Ref_Acuerdos!$A:$E,3,FALSE()),VLOOKUP($B812,Ref_Acuerdos!$A:$E,4,FALSE()),""),"")</f>
        <v/>
      </c>
      <c r="K812" s="4" t="str">
        <f aca="false">IFERROR(IF($A812&gt;=VLOOKUP($B812,Ref_Acuerdos!$A:$E,3,FALSE()),VLOOKUP($B812,Ref_Acuerdos!$A:$E,5,FALSE()),"Sin FTA/PTA vigente ese año - arancel NMF"),"Sin FTA/PTA identificado - arancel NMF")</f>
        <v>Sin FTA/PTA identificado - arancel NMF</v>
      </c>
    </row>
    <row r="813" customFormat="false" ht="15" hidden="false" customHeight="false" outlineLevel="0" collapsed="false">
      <c r="A813" s="2" t="n">
        <v>2021</v>
      </c>
      <c r="B813" s="2" t="s">
        <v>71</v>
      </c>
      <c r="C813" s="4" t="str">
        <f aca="false">IFERROR(VLOOKUP($B813,Ref_Continente!$A:$B,2,FALSE()),"Sin clasificar")</f>
        <v>Asia</v>
      </c>
      <c r="D813" s="5" t="n">
        <v>7389</v>
      </c>
      <c r="E813" s="6" t="n">
        <v>1198.1</v>
      </c>
      <c r="F813" s="6" t="n">
        <v>17100</v>
      </c>
      <c r="G813" s="5" t="n">
        <v>5252457369.55</v>
      </c>
      <c r="H813" s="4" t="n">
        <f aca="false">IFERROR(IF(AND(VLOOKUP($B813,Ref_Acuerdos!$A:$E,2,FALSE())="FTA",$A813&gt;=VLOOKUP($B813,Ref_Acuerdos!$A:$E,3,FALSE())),1,0),0)</f>
        <v>0</v>
      </c>
      <c r="I813" s="4" t="n">
        <f aca="false">IFERROR(IF(AND(VLOOKUP($B813,Ref_Acuerdos!$A:$E,2,FALSE())="PTA",$A813&gt;=VLOOKUP($B813,Ref_Acuerdos!$A:$E,3,FALSE())),1,0),0)</f>
        <v>0</v>
      </c>
      <c r="J813" s="7" t="str">
        <f aca="false">IFERROR(IF($A813&gt;=VLOOKUP($B813,Ref_Acuerdos!$A:$E,3,FALSE()),VLOOKUP($B813,Ref_Acuerdos!$A:$E,4,FALSE()),""),"")</f>
        <v/>
      </c>
      <c r="K813" s="4" t="str">
        <f aca="false">IFERROR(IF($A813&gt;=VLOOKUP($B813,Ref_Acuerdos!$A:$E,3,FALSE()),VLOOKUP($B813,Ref_Acuerdos!$A:$E,5,FALSE()),"Sin FTA/PTA vigente ese año - arancel NMF"),"Sin FTA/PTA identificado - arancel NMF")</f>
        <v>Sin FTA/PTA identificado - arancel NMF</v>
      </c>
    </row>
    <row r="814" customFormat="false" ht="15" hidden="false" customHeight="false" outlineLevel="0" collapsed="false">
      <c r="A814" s="2" t="n">
        <v>2021</v>
      </c>
      <c r="B814" s="2" t="s">
        <v>100</v>
      </c>
      <c r="C814" s="4" t="str">
        <f aca="false">IFERROR(VLOOKUP($B814,Ref_Continente!$A:$B,2,FALSE()),"Sin clasificar")</f>
        <v>Asia</v>
      </c>
      <c r="D814" s="5" t="n">
        <v>5684</v>
      </c>
      <c r="E814" s="6" t="n">
        <v>1347.1</v>
      </c>
      <c r="F814" s="6" t="n">
        <v>13800</v>
      </c>
      <c r="G814" s="5" t="n">
        <v>982661066666.67</v>
      </c>
      <c r="H814" s="4" t="n">
        <f aca="false">IFERROR(IF(AND(VLOOKUP($B814,Ref_Acuerdos!$A:$E,2,FALSE())="FTA",$A814&gt;=VLOOKUP($B814,Ref_Acuerdos!$A:$E,3,FALSE())),1,0),0)</f>
        <v>0</v>
      </c>
      <c r="I814" s="4" t="n">
        <f aca="false">IFERROR(IF(AND(VLOOKUP($B814,Ref_Acuerdos!$A:$E,2,FALSE())="PTA",$A814&gt;=VLOOKUP($B814,Ref_Acuerdos!$A:$E,3,FALSE())),1,0),0)</f>
        <v>0</v>
      </c>
      <c r="J814" s="7" t="str">
        <f aca="false">IFERROR(IF($A814&gt;=VLOOKUP($B814,Ref_Acuerdos!$A:$E,3,FALSE()),VLOOKUP($B814,Ref_Acuerdos!$A:$E,4,FALSE()),""),"")</f>
        <v/>
      </c>
      <c r="K814" s="4" t="str">
        <f aca="false">IFERROR(IF($A814&gt;=VLOOKUP($B814,Ref_Acuerdos!$A:$E,3,FALSE()),VLOOKUP($B814,Ref_Acuerdos!$A:$E,5,FALSE()),"Sin FTA/PTA vigente ese año - arancel NMF"),"Sin FTA/PTA identificado - arancel NMF")</f>
        <v>Sin FTA/PTA identificado - arancel NMF</v>
      </c>
    </row>
    <row r="815" customFormat="false" ht="15" hidden="false" customHeight="false" outlineLevel="0" collapsed="false">
      <c r="A815" s="2" t="n">
        <v>2021</v>
      </c>
      <c r="B815" s="2" t="s">
        <v>102</v>
      </c>
      <c r="C815" s="4" t="str">
        <f aca="false">IFERROR(VLOOKUP($B815,Ref_Continente!$A:$B,2,FALSE()),"Sin clasificar")</f>
        <v>Asia</v>
      </c>
      <c r="D815" s="5" t="n">
        <v>4566</v>
      </c>
      <c r="E815" s="6" t="n">
        <v>407</v>
      </c>
      <c r="F815" s="6" t="n">
        <v>18800</v>
      </c>
      <c r="G815" s="5" t="n">
        <v>436591382250.46</v>
      </c>
      <c r="H815" s="4" t="n">
        <f aca="false">IFERROR(IF(AND(VLOOKUP($B815,Ref_Acuerdos!$A:$E,2,FALSE())="FTA",$A815&gt;=VLOOKUP($B815,Ref_Acuerdos!$A:$E,3,FALSE())),1,0),0)</f>
        <v>0</v>
      </c>
      <c r="I815" s="4" t="n">
        <f aca="false">IFERROR(IF(AND(VLOOKUP($B815,Ref_Acuerdos!$A:$E,2,FALSE())="PTA",$A815&gt;=VLOOKUP($B815,Ref_Acuerdos!$A:$E,3,FALSE())),1,0),0)</f>
        <v>0</v>
      </c>
      <c r="J815" s="7" t="str">
        <f aca="false">IFERROR(IF($A815&gt;=VLOOKUP($B815,Ref_Acuerdos!$A:$E,3,FALSE()),VLOOKUP($B815,Ref_Acuerdos!$A:$E,4,FALSE()),""),"")</f>
        <v/>
      </c>
      <c r="K815" s="4" t="str">
        <f aca="false">IFERROR(IF($A815&gt;=VLOOKUP($B815,Ref_Acuerdos!$A:$E,3,FALSE()),VLOOKUP($B815,Ref_Acuerdos!$A:$E,5,FALSE()),"Sin FTA/PTA vigente ese año - arancel NMF"),"Sin FTA/PTA identificado - arancel NMF")</f>
        <v>Sin FTA/PTA identificado - arancel NMF</v>
      </c>
    </row>
    <row r="816" customFormat="false" ht="15" hidden="false" customHeight="false" outlineLevel="0" collapsed="false">
      <c r="A816" s="2" t="n">
        <v>2021</v>
      </c>
      <c r="B816" s="2" t="s">
        <v>31</v>
      </c>
      <c r="C816" s="4" t="str">
        <f aca="false">IFERROR(VLOOKUP($B816,Ref_Continente!$A:$B,2,FALSE()),"Sin clasificar")</f>
        <v>Europe</v>
      </c>
      <c r="D816" s="5" t="n">
        <v>4494</v>
      </c>
      <c r="E816" s="6" t="n">
        <v>1045.5</v>
      </c>
      <c r="F816" s="6" t="n">
        <v>10400</v>
      </c>
      <c r="G816" s="5" t="n">
        <v>69002365163.34</v>
      </c>
      <c r="H816" s="4" t="n">
        <f aca="false">IFERROR(IF(AND(VLOOKUP($B816,Ref_Acuerdos!$A:$E,2,FALSE())="FTA",$A816&gt;=VLOOKUP($B816,Ref_Acuerdos!$A:$E,3,FALSE())),1,0),0)</f>
        <v>1</v>
      </c>
      <c r="I816" s="4" t="n">
        <f aca="false">IFERROR(IF(AND(VLOOKUP($B816,Ref_Acuerdos!$A:$E,2,FALSE())="PTA",$A816&gt;=VLOOKUP($B816,Ref_Acuerdos!$A:$E,3,FALSE())),1,0),0)</f>
        <v>0</v>
      </c>
      <c r="J816" s="7" t="n">
        <f aca="false">IFERROR(IF($A816&gt;=VLOOKUP($B816,Ref_Acuerdos!$A:$E,3,FALSE()),VLOOKUP($B816,Ref_Acuerdos!$A:$E,4,FALSE()),""),"")</f>
        <v>0</v>
      </c>
      <c r="K816" s="4" t="str">
        <f aca="false">IFERROR(IF($A816&gt;=VLOOKUP($B816,Ref_Acuerdos!$A:$E,3,FALSE()),VLOOKUP($B816,Ref_Acuerdos!$A:$E,5,FALSE()),"Sin FTA/PTA vigente ese año - arancel NMF"),"Sin FTA/PTA identificado - arancel NMF")</f>
        <v>UE-Ecuador Acuerdo Multipartes, vigente desde ene-2017</v>
      </c>
    </row>
    <row r="817" customFormat="false" ht="15" hidden="false" customHeight="false" outlineLevel="0" collapsed="false">
      <c r="A817" s="2" t="n">
        <v>2021</v>
      </c>
      <c r="B817" s="2" t="s">
        <v>42</v>
      </c>
      <c r="C817" s="4" t="str">
        <f aca="false">IFERROR(VLOOKUP($B817,Ref_Continente!$A:$B,2,FALSE()),"Sin clasificar")</f>
        <v>Europe</v>
      </c>
      <c r="D817" s="5" t="n">
        <v>4423</v>
      </c>
      <c r="E817" s="6" t="n">
        <v>666.4</v>
      </c>
      <c r="F817" s="6" t="n">
        <v>9150</v>
      </c>
      <c r="G817" s="5" t="n">
        <v>2966433692008.09</v>
      </c>
      <c r="H817" s="4" t="n">
        <f aca="false">IFERROR(IF(AND(VLOOKUP($B817,Ref_Acuerdos!$A:$E,2,FALSE())="FTA",$A817&gt;=VLOOKUP($B817,Ref_Acuerdos!$A:$E,3,FALSE())),1,0),0)</f>
        <v>1</v>
      </c>
      <c r="I817" s="4" t="n">
        <f aca="false">IFERROR(IF(AND(VLOOKUP($B817,Ref_Acuerdos!$A:$E,2,FALSE())="PTA",$A817&gt;=VLOOKUP($B817,Ref_Acuerdos!$A:$E,3,FALSE())),1,0),0)</f>
        <v>0</v>
      </c>
      <c r="J817" s="7" t="n">
        <f aca="false">IFERROR(IF($A817&gt;=VLOOKUP($B817,Ref_Acuerdos!$A:$E,3,FALSE()),VLOOKUP($B817,Ref_Acuerdos!$A:$E,4,FALSE()),""),"")</f>
        <v>0</v>
      </c>
      <c r="K817" s="4" t="str">
        <f aca="false">IFERROR(IF($A817&gt;=VLOOKUP($B817,Ref_Acuerdos!$A:$E,3,FALSE()),VLOOKUP($B817,Ref_Acuerdos!$A:$E,5,FALSE()),"Sin FTA/PTA vigente ese año - arancel NMF"),"Sin FTA/PTA identificado - arancel NMF")</f>
        <v>UE-Ecuador Acuerdo Multipartes, vigente desde ene-2017</v>
      </c>
    </row>
    <row r="818" customFormat="false" ht="15" hidden="false" customHeight="false" outlineLevel="0" collapsed="false">
      <c r="A818" s="2" t="n">
        <v>2021</v>
      </c>
      <c r="B818" s="2" t="s">
        <v>27</v>
      </c>
      <c r="C818" s="4" t="str">
        <f aca="false">IFERROR(VLOOKUP($B818,Ref_Continente!$A:$B,2,FALSE()),"Sin clasificar")</f>
        <v>Asia</v>
      </c>
      <c r="D818" s="5" t="n">
        <v>3852</v>
      </c>
      <c r="E818" s="6" t="n">
        <v>525.1</v>
      </c>
      <c r="F818" s="6" t="n">
        <v>17000</v>
      </c>
      <c r="G818" s="5" t="n">
        <v>18201698719564</v>
      </c>
      <c r="H818" s="4" t="n">
        <f aca="false">IFERROR(IF(AND(VLOOKUP($B818,Ref_Acuerdos!$A:$E,2,FALSE())="FTA",$A818&gt;=VLOOKUP($B818,Ref_Acuerdos!$A:$E,3,FALSE())),1,0),0)</f>
        <v>0</v>
      </c>
      <c r="I818" s="4" t="n">
        <f aca="false">IFERROR(IF(AND(VLOOKUP($B818,Ref_Acuerdos!$A:$E,2,FALSE())="PTA",$A818&gt;=VLOOKUP($B818,Ref_Acuerdos!$A:$E,3,FALSE())),1,0),0)</f>
        <v>0</v>
      </c>
      <c r="J818" s="7" t="str">
        <f aca="false">IFERROR(IF($A818&gt;=VLOOKUP($B818,Ref_Acuerdos!$A:$E,3,FALSE()),VLOOKUP($B818,Ref_Acuerdos!$A:$E,4,FALSE()),""),"")</f>
        <v/>
      </c>
      <c r="K818" s="4" t="str">
        <f aca="false">IFERROR(IF($A818&gt;=VLOOKUP($B818,Ref_Acuerdos!$A:$E,3,FALSE()),VLOOKUP($B818,Ref_Acuerdos!$A:$E,5,FALSE()),"Sin FTA/PTA vigente ese año - arancel NMF"),"Sin FTA/PTA identificado - arancel NMF")</f>
        <v>Sin FTA/PTA vigente ese año - arancel NMF</v>
      </c>
    </row>
    <row r="819" customFormat="false" ht="15" hidden="false" customHeight="false" outlineLevel="0" collapsed="false">
      <c r="A819" s="2" t="n">
        <v>2021</v>
      </c>
      <c r="B819" s="2" t="s">
        <v>51</v>
      </c>
      <c r="C819" s="4" t="str">
        <f aca="false">IFERROR(VLOOKUP($B819,Ref_Continente!$A:$B,2,FALSE()),"Sin clasificar")</f>
        <v>North America</v>
      </c>
      <c r="D819" s="5" t="n">
        <v>2528</v>
      </c>
      <c r="E819" s="6" t="n">
        <v>432.8</v>
      </c>
      <c r="F819" s="6" t="n">
        <v>1800</v>
      </c>
      <c r="G819" s="5" t="n">
        <v>28144331506.61</v>
      </c>
      <c r="H819" s="4" t="n">
        <f aca="false">IFERROR(IF(AND(VLOOKUP($B819,Ref_Acuerdos!$A:$E,2,FALSE())="FTA",$A819&gt;=VLOOKUP($B819,Ref_Acuerdos!$A:$E,3,FALSE())),1,0),0)</f>
        <v>0</v>
      </c>
      <c r="I819" s="4" t="n">
        <f aca="false">IFERROR(IF(AND(VLOOKUP($B819,Ref_Acuerdos!$A:$E,2,FALSE())="PTA",$A819&gt;=VLOOKUP($B819,Ref_Acuerdos!$A:$E,3,FALSE())),1,0),0)</f>
        <v>0</v>
      </c>
      <c r="J819" s="7" t="str">
        <f aca="false">IFERROR(IF($A819&gt;=VLOOKUP($B819,Ref_Acuerdos!$A:$E,3,FALSE()),VLOOKUP($B819,Ref_Acuerdos!$A:$E,4,FALSE()),""),"")</f>
        <v/>
      </c>
      <c r="K819" s="4" t="str">
        <f aca="false">IFERROR(IF($A819&gt;=VLOOKUP($B819,Ref_Acuerdos!$A:$E,3,FALSE()),VLOOKUP($B819,Ref_Acuerdos!$A:$E,5,FALSE()),"Sin FTA/PTA vigente ese año - arancel NMF"),"Sin FTA/PTA identificado - arancel NMF")</f>
        <v>Sin FTA/PTA identificado - arancel NMF</v>
      </c>
    </row>
    <row r="820" customFormat="false" ht="15" hidden="false" customHeight="false" outlineLevel="0" collapsed="false">
      <c r="A820" s="2" t="n">
        <v>2021</v>
      </c>
      <c r="B820" s="2" t="s">
        <v>65</v>
      </c>
      <c r="C820" s="4" t="str">
        <f aca="false">IFERROR(VLOOKUP($B820,Ref_Continente!$A:$B,2,FALSE()),"Sin clasificar")</f>
        <v>Asia</v>
      </c>
      <c r="D820" s="5" t="n">
        <v>2492</v>
      </c>
      <c r="E820" s="6" t="n">
        <v>943.8</v>
      </c>
      <c r="F820" s="6" t="n">
        <v>14300</v>
      </c>
      <c r="G820" s="5"/>
      <c r="H820" s="4" t="n">
        <f aca="false">IFERROR(IF(AND(VLOOKUP($B820,Ref_Acuerdos!$A:$E,2,FALSE())="FTA",$A820&gt;=VLOOKUP($B820,Ref_Acuerdos!$A:$E,3,FALSE())),1,0),0)</f>
        <v>0</v>
      </c>
      <c r="I820" s="4" t="n">
        <f aca="false">IFERROR(IF(AND(VLOOKUP($B820,Ref_Acuerdos!$A:$E,2,FALSE())="PTA",$A820&gt;=VLOOKUP($B820,Ref_Acuerdos!$A:$E,3,FALSE())),1,0),0)</f>
        <v>0</v>
      </c>
      <c r="J820" s="7" t="str">
        <f aca="false">IFERROR(IF($A820&gt;=VLOOKUP($B820,Ref_Acuerdos!$A:$E,3,FALSE()),VLOOKUP($B820,Ref_Acuerdos!$A:$E,4,FALSE()),""),"")</f>
        <v/>
      </c>
      <c r="K820" s="4" t="str">
        <f aca="false">IFERROR(IF($A820&gt;=VLOOKUP($B820,Ref_Acuerdos!$A:$E,3,FALSE()),VLOOKUP($B820,Ref_Acuerdos!$A:$E,5,FALSE()),"Sin FTA/PTA vigente ese año - arancel NMF"),"Sin FTA/PTA identificado - arancel NMF")</f>
        <v>Sin FTA/PTA identificado - arancel NMF</v>
      </c>
    </row>
    <row r="821" customFormat="false" ht="15" hidden="false" customHeight="false" outlineLevel="0" collapsed="false">
      <c r="A821" s="2" t="n">
        <v>2021</v>
      </c>
      <c r="B821" s="2" t="s">
        <v>90</v>
      </c>
      <c r="C821" s="4" t="str">
        <f aca="false">IFERROR(VLOOKUP($B821,Ref_Continente!$A:$B,2,FALSE()),"Sin clasificar")</f>
        <v>Europe</v>
      </c>
      <c r="D821" s="5" t="n">
        <v>2489</v>
      </c>
      <c r="E821" s="6" t="n">
        <v>556</v>
      </c>
      <c r="F821" s="6" t="n">
        <v>10300</v>
      </c>
      <c r="G821" s="5" t="n">
        <v>689170230665.35</v>
      </c>
      <c r="H821" s="4" t="n">
        <f aca="false">IFERROR(IF(AND(VLOOKUP($B821,Ref_Acuerdos!$A:$E,2,FALSE())="FTA",$A821&gt;=VLOOKUP($B821,Ref_Acuerdos!$A:$E,3,FALSE())),1,0),0)</f>
        <v>1</v>
      </c>
      <c r="I821" s="4" t="n">
        <f aca="false">IFERROR(IF(AND(VLOOKUP($B821,Ref_Acuerdos!$A:$E,2,FALSE())="PTA",$A821&gt;=VLOOKUP($B821,Ref_Acuerdos!$A:$E,3,FALSE())),1,0),0)</f>
        <v>0</v>
      </c>
      <c r="J821" s="7" t="n">
        <f aca="false">IFERROR(IF($A821&gt;=VLOOKUP($B821,Ref_Acuerdos!$A:$E,3,FALSE()),VLOOKUP($B821,Ref_Acuerdos!$A:$E,4,FALSE()),""),"")</f>
        <v>0</v>
      </c>
      <c r="K821" s="4" t="str">
        <f aca="false">IFERROR(IF($A821&gt;=VLOOKUP($B821,Ref_Acuerdos!$A:$E,3,FALSE()),VLOOKUP($B821,Ref_Acuerdos!$A:$E,5,FALSE()),"Sin FTA/PTA vigente ese año - arancel NMF"),"Sin FTA/PTA identificado - arancel NMF")</f>
        <v>UE-Ecuador Acuerdo Multipartes, vigente desde ene-2017</v>
      </c>
    </row>
    <row r="822" customFormat="false" ht="15" hidden="false" customHeight="false" outlineLevel="0" collapsed="false">
      <c r="A822" s="2" t="n">
        <v>2021</v>
      </c>
      <c r="B822" s="2" t="s">
        <v>24</v>
      </c>
      <c r="C822" s="4" t="str">
        <f aca="false">IFERROR(VLOOKUP($B822,Ref_Continente!$A:$B,2,FALSE()),"Sin clasificar")</f>
        <v>Europe</v>
      </c>
      <c r="D822" s="5" t="n">
        <v>2142</v>
      </c>
      <c r="E822" s="6" t="n">
        <v>597.1</v>
      </c>
      <c r="F822" s="6" t="n">
        <v>10870</v>
      </c>
      <c r="G822" s="5" t="n">
        <v>84374613233.36</v>
      </c>
      <c r="H822" s="4" t="n">
        <f aca="false">IFERROR(IF(AND(VLOOKUP($B822,Ref_Acuerdos!$A:$E,2,FALSE())="FTA",$A822&gt;=VLOOKUP($B822,Ref_Acuerdos!$A:$E,3,FALSE())),1,0),0)</f>
        <v>1</v>
      </c>
      <c r="I822" s="4" t="n">
        <f aca="false">IFERROR(IF(AND(VLOOKUP($B822,Ref_Acuerdos!$A:$E,2,FALSE())="PTA",$A822&gt;=VLOOKUP($B822,Ref_Acuerdos!$A:$E,3,FALSE())),1,0),0)</f>
        <v>0</v>
      </c>
      <c r="J822" s="7" t="n">
        <f aca="false">IFERROR(IF($A822&gt;=VLOOKUP($B822,Ref_Acuerdos!$A:$E,3,FALSE()),VLOOKUP($B822,Ref_Acuerdos!$A:$E,4,FALSE()),""),"")</f>
        <v>0</v>
      </c>
      <c r="K822" s="4" t="str">
        <f aca="false">IFERROR(IF($A822&gt;=VLOOKUP($B822,Ref_Acuerdos!$A:$E,3,FALSE()),VLOOKUP($B822,Ref_Acuerdos!$A:$E,5,FALSE()),"Sin FTA/PTA vigente ese año - arancel NMF"),"Sin FTA/PTA identificado - arancel NMF")</f>
        <v>UE-Ecuador Acuerdo Multipartes, vigente desde ene-2017</v>
      </c>
    </row>
    <row r="823" customFormat="false" ht="15" hidden="false" customHeight="false" outlineLevel="0" collapsed="false">
      <c r="A823" s="2" t="n">
        <v>2021</v>
      </c>
      <c r="B823" s="2" t="s">
        <v>32</v>
      </c>
      <c r="C823" s="4" t="str">
        <f aca="false">IFERROR(VLOOKUP($B823,Ref_Continente!$A:$B,2,FALSE()),"Sin clasificar")</f>
        <v>North America</v>
      </c>
      <c r="D823" s="5" t="n">
        <v>2028</v>
      </c>
      <c r="E823" s="6" t="n">
        <v>384.3</v>
      </c>
      <c r="F823" s="6" t="n">
        <v>2450</v>
      </c>
      <c r="G823" s="5"/>
      <c r="H823" s="4" t="n">
        <f aca="false">IFERROR(IF(AND(VLOOKUP($B823,Ref_Acuerdos!$A:$E,2,FALSE())="FTA",$A823&gt;=VLOOKUP($B823,Ref_Acuerdos!$A:$E,3,FALSE())),1,0),0)</f>
        <v>0</v>
      </c>
      <c r="I823" s="4" t="n">
        <f aca="false">IFERROR(IF(AND(VLOOKUP($B823,Ref_Acuerdos!$A:$E,2,FALSE())="PTA",$A823&gt;=VLOOKUP($B823,Ref_Acuerdos!$A:$E,3,FALSE())),1,0),0)</f>
        <v>1</v>
      </c>
      <c r="J823" s="7" t="n">
        <f aca="false">IFERROR(IF($A823&gt;=VLOOKUP($B823,Ref_Acuerdos!$A:$E,3,FALSE()),VLOOKUP($B823,Ref_Acuerdos!$A:$E,4,FALSE()),""),"")</f>
        <v>10</v>
      </c>
      <c r="K823" s="4" t="str">
        <f aca="false">IFERROR(IF($A823&gt;=VLOOKUP($B823,Ref_Acuerdos!$A:$E,3,FALSE()),VLOOKUP($B823,Ref_Acuerdos!$A:$E,5,FALSE()),"Sin FTA/PTA vigente ese año - arancel NMF"),"Sin FTA/PTA identificado - arancel NMF")</f>
        <v>ALADI - Acuerdo de Alcance Parcial (preferencia limitada, tarifa referencial)</v>
      </c>
    </row>
    <row r="824" customFormat="false" ht="15" hidden="false" customHeight="false" outlineLevel="0" collapsed="false">
      <c r="A824" s="2" t="n">
        <v>2021</v>
      </c>
      <c r="B824" s="2" t="s">
        <v>52</v>
      </c>
      <c r="C824" s="4" t="str">
        <f aca="false">IFERROR(VLOOKUP($B824,Ref_Continente!$A:$B,2,FALSE()),"Sin clasificar")</f>
        <v>Europe</v>
      </c>
      <c r="D824" s="5" t="n">
        <v>1828</v>
      </c>
      <c r="E824" s="6" t="n">
        <v>667</v>
      </c>
      <c r="F824" s="6" t="n">
        <v>10350</v>
      </c>
      <c r="G824" s="5" t="n">
        <v>183282685440.49</v>
      </c>
      <c r="H824" s="4" t="n">
        <f aca="false">IFERROR(IF(AND(VLOOKUP($B824,Ref_Acuerdos!$A:$E,2,FALSE())="FTA",$A824&gt;=VLOOKUP($B824,Ref_Acuerdos!$A:$E,3,FALSE())),1,0),0)</f>
        <v>1</v>
      </c>
      <c r="I824" s="4" t="n">
        <f aca="false">IFERROR(IF(AND(VLOOKUP($B824,Ref_Acuerdos!$A:$E,2,FALSE())="PTA",$A824&gt;=VLOOKUP($B824,Ref_Acuerdos!$A:$E,3,FALSE())),1,0),0)</f>
        <v>0</v>
      </c>
      <c r="J824" s="7" t="n">
        <f aca="false">IFERROR(IF($A824&gt;=VLOOKUP($B824,Ref_Acuerdos!$A:$E,3,FALSE()),VLOOKUP($B824,Ref_Acuerdos!$A:$E,4,FALSE()),""),"")</f>
        <v>0</v>
      </c>
      <c r="K824" s="4" t="str">
        <f aca="false">IFERROR(IF($A824&gt;=VLOOKUP($B824,Ref_Acuerdos!$A:$E,3,FALSE()),VLOOKUP($B824,Ref_Acuerdos!$A:$E,5,FALSE()),"Sin FTA/PTA vigente ese año - arancel NMF"),"Sin FTA/PTA identificado - arancel NMF")</f>
        <v>UE-Ecuador Acuerdo Multipartes, vigente desde ene-2017</v>
      </c>
    </row>
    <row r="825" customFormat="false" ht="15" hidden="false" customHeight="false" outlineLevel="0" collapsed="false">
      <c r="A825" s="2" t="n">
        <v>2021</v>
      </c>
      <c r="B825" s="2" t="s">
        <v>40</v>
      </c>
      <c r="C825" s="4" t="str">
        <f aca="false">IFERROR(VLOOKUP($B825,Ref_Continente!$A:$B,2,FALSE()),"Sin clasificar")</f>
        <v>Europe</v>
      </c>
      <c r="D825" s="5" t="n">
        <v>1791</v>
      </c>
      <c r="E825" s="6" t="n">
        <v>840.1</v>
      </c>
      <c r="F825" s="6" t="n">
        <v>10400</v>
      </c>
      <c r="G825" s="5" t="n">
        <v>37201101170.58</v>
      </c>
      <c r="H825" s="4" t="n">
        <f aca="false">IFERROR(IF(AND(VLOOKUP($B825,Ref_Acuerdos!$A:$E,2,FALSE())="FTA",$A825&gt;=VLOOKUP($B825,Ref_Acuerdos!$A:$E,3,FALSE())),1,0),0)</f>
        <v>1</v>
      </c>
      <c r="I825" s="4" t="n">
        <f aca="false">IFERROR(IF(AND(VLOOKUP($B825,Ref_Acuerdos!$A:$E,2,FALSE())="PTA",$A825&gt;=VLOOKUP($B825,Ref_Acuerdos!$A:$E,3,FALSE())),1,0),0)</f>
        <v>0</v>
      </c>
      <c r="J825" s="7" t="n">
        <f aca="false">IFERROR(IF($A825&gt;=VLOOKUP($B825,Ref_Acuerdos!$A:$E,3,FALSE()),VLOOKUP($B825,Ref_Acuerdos!$A:$E,4,FALSE()),""),"")</f>
        <v>0</v>
      </c>
      <c r="K825" s="4" t="str">
        <f aca="false">IFERROR(IF($A825&gt;=VLOOKUP($B825,Ref_Acuerdos!$A:$E,3,FALSE()),VLOOKUP($B825,Ref_Acuerdos!$A:$E,5,FALSE()),"Sin FTA/PTA vigente ese año - arancel NMF"),"Sin FTA/PTA identificado - arancel NMF")</f>
        <v>UE-Ecuador Acuerdo Multipartes, vigente desde ene-2017</v>
      </c>
    </row>
    <row r="826" customFormat="false" ht="15" hidden="false" customHeight="false" outlineLevel="0" collapsed="false">
      <c r="A826" s="2" t="n">
        <v>2021</v>
      </c>
      <c r="B826" s="2" t="s">
        <v>16</v>
      </c>
      <c r="C826" s="4" t="str">
        <f aca="false">IFERROR(VLOOKUP($B826,Ref_Continente!$A:$B,2,FALSE()),"Sin clasificar")</f>
        <v>Asia</v>
      </c>
      <c r="D826" s="5" t="n">
        <v>1754</v>
      </c>
      <c r="E826" s="6" t="n">
        <v>847.9</v>
      </c>
      <c r="F826" s="6" t="n">
        <v>13100</v>
      </c>
      <c r="G826" s="5" t="n">
        <v>54825411764.71</v>
      </c>
      <c r="H826" s="4" t="n">
        <f aca="false">IFERROR(IF(AND(VLOOKUP($B826,Ref_Acuerdos!$A:$E,2,FALSE())="FTA",$A826&gt;=VLOOKUP($B826,Ref_Acuerdos!$A:$E,3,FALSE())),1,0),0)</f>
        <v>0</v>
      </c>
      <c r="I826" s="4" t="n">
        <f aca="false">IFERROR(IF(AND(VLOOKUP($B826,Ref_Acuerdos!$A:$E,2,FALSE())="PTA",$A826&gt;=VLOOKUP($B826,Ref_Acuerdos!$A:$E,3,FALSE())),1,0),0)</f>
        <v>0</v>
      </c>
      <c r="J826" s="7" t="str">
        <f aca="false">IFERROR(IF($A826&gt;=VLOOKUP($B826,Ref_Acuerdos!$A:$E,3,FALSE()),VLOOKUP($B826,Ref_Acuerdos!$A:$E,4,FALSE()),""),"")</f>
        <v/>
      </c>
      <c r="K826" s="4" t="str">
        <f aca="false">IFERROR(IF($A826&gt;=VLOOKUP($B826,Ref_Acuerdos!$A:$E,3,FALSE()),VLOOKUP($B826,Ref_Acuerdos!$A:$E,5,FALSE()),"Sin FTA/PTA vigente ese año - arancel NMF"),"Sin FTA/PTA identificado - arancel NMF")</f>
        <v>Sin FTA/PTA identificado - arancel NMF</v>
      </c>
    </row>
    <row r="827" customFormat="false" ht="15" hidden="false" customHeight="false" outlineLevel="0" collapsed="false">
      <c r="A827" s="2" t="n">
        <v>2021</v>
      </c>
      <c r="B827" s="2" t="s">
        <v>103</v>
      </c>
      <c r="C827" s="4" t="str">
        <f aca="false">IFERROR(VLOOKUP($B827,Ref_Continente!$A:$B,2,FALSE()),"Sin clasificar")</f>
        <v>Europe</v>
      </c>
      <c r="D827" s="5" t="n">
        <v>1388</v>
      </c>
      <c r="E827" s="6" t="n">
        <v>432</v>
      </c>
      <c r="F827" s="6" t="n">
        <v>10500</v>
      </c>
      <c r="G827" s="5"/>
      <c r="H827" s="4" t="n">
        <f aca="false">IFERROR(IF(AND(VLOOKUP($B827,Ref_Acuerdos!$A:$E,2,FALSE())="FTA",$A827&gt;=VLOOKUP($B827,Ref_Acuerdos!$A:$E,3,FALSE())),1,0),0)</f>
        <v>1</v>
      </c>
      <c r="I827" s="4" t="n">
        <f aca="false">IFERROR(IF(AND(VLOOKUP($B827,Ref_Acuerdos!$A:$E,2,FALSE())="PTA",$A827&gt;=VLOOKUP($B827,Ref_Acuerdos!$A:$E,3,FALSE())),1,0),0)</f>
        <v>0</v>
      </c>
      <c r="J827" s="7" t="n">
        <f aca="false">IFERROR(IF($A827&gt;=VLOOKUP($B827,Ref_Acuerdos!$A:$E,3,FALSE()),VLOOKUP($B827,Ref_Acuerdos!$A:$E,4,FALSE()),""),"")</f>
        <v>0</v>
      </c>
      <c r="K827" s="4" t="str">
        <f aca="false">IFERROR(IF($A827&gt;=VLOOKUP($B827,Ref_Acuerdos!$A:$E,3,FALSE()),VLOOKUP($B827,Ref_Acuerdos!$A:$E,5,FALSE()),"Sin FTA/PTA vigente ese año - arancel NMF"),"Sin FTA/PTA identificado - arancel NMF")</f>
        <v>UE-Ecuador Acuerdo Multipartes, vigente desde ene-2017</v>
      </c>
    </row>
    <row r="828" customFormat="false" ht="15" hidden="false" customHeight="false" outlineLevel="0" collapsed="false">
      <c r="A828" s="2" t="n">
        <v>2021</v>
      </c>
      <c r="B828" s="2" t="s">
        <v>48</v>
      </c>
      <c r="C828" s="4" t="str">
        <f aca="false">IFERROR(VLOOKUP($B828,Ref_Continente!$A:$B,2,FALSE()),"Sin clasificar")</f>
        <v>North America</v>
      </c>
      <c r="D828" s="5" t="n">
        <v>1203</v>
      </c>
      <c r="E828" s="6" t="n">
        <v>273.7</v>
      </c>
      <c r="F828" s="6" t="n">
        <v>2000</v>
      </c>
      <c r="G828" s="5" t="n">
        <v>86455522272.74</v>
      </c>
      <c r="H828" s="4" t="n">
        <f aca="false">IFERROR(IF(AND(VLOOKUP($B828,Ref_Acuerdos!$A:$E,2,FALSE())="FTA",$A828&gt;=VLOOKUP($B828,Ref_Acuerdos!$A:$E,3,FALSE())),1,0),0)</f>
        <v>0</v>
      </c>
      <c r="I828" s="4" t="n">
        <f aca="false">IFERROR(IF(AND(VLOOKUP($B828,Ref_Acuerdos!$A:$E,2,FALSE())="PTA",$A828&gt;=VLOOKUP($B828,Ref_Acuerdos!$A:$E,3,FALSE())),1,0),0)</f>
        <v>1</v>
      </c>
      <c r="J828" s="7" t="n">
        <f aca="false">IFERROR(IF($A828&gt;=VLOOKUP($B828,Ref_Acuerdos!$A:$E,3,FALSE()),VLOOKUP($B828,Ref_Acuerdos!$A:$E,4,FALSE()),""),"")</f>
        <v>10</v>
      </c>
      <c r="K828" s="4" t="str">
        <f aca="false">IFERROR(IF($A828&gt;=VLOOKUP($B828,Ref_Acuerdos!$A:$E,3,FALSE()),VLOOKUP($B828,Ref_Acuerdos!$A:$E,5,FALSE()),"Sin FTA/PTA vigente ese año - arancel NMF"),"Sin FTA/PTA identificado - arancel NMF")</f>
        <v>ALADI - Acuerdo de Alcance Parcial (preferencia limitada, tarifa referencial)</v>
      </c>
    </row>
    <row r="829" customFormat="false" ht="15" hidden="false" customHeight="false" outlineLevel="0" collapsed="false">
      <c r="A829" s="2" t="n">
        <v>2021</v>
      </c>
      <c r="B829" s="2" t="s">
        <v>97</v>
      </c>
      <c r="C829" s="4" t="str">
        <f aca="false">IFERROR(VLOOKUP($B829,Ref_Continente!$A:$B,2,FALSE()),"Sin clasificar")</f>
        <v>North America</v>
      </c>
      <c r="D829" s="5" t="n">
        <v>1048</v>
      </c>
      <c r="E829" s="6" t="n">
        <v>385.6</v>
      </c>
      <c r="F829" s="6" t="n">
        <v>2900</v>
      </c>
      <c r="G829" s="5"/>
      <c r="H829" s="4" t="n">
        <f aca="false">IFERROR(IF(AND(VLOOKUP($B829,Ref_Acuerdos!$A:$E,2,FALSE())="FTA",$A829&gt;=VLOOKUP($B829,Ref_Acuerdos!$A:$E,3,FALSE())),1,0),0)</f>
        <v>0</v>
      </c>
      <c r="I829" s="4" t="n">
        <f aca="false">IFERROR(IF(AND(VLOOKUP($B829,Ref_Acuerdos!$A:$E,2,FALSE())="PTA",$A829&gt;=VLOOKUP($B829,Ref_Acuerdos!$A:$E,3,FALSE())),1,0),0)</f>
        <v>0</v>
      </c>
      <c r="J829" s="7" t="str">
        <f aca="false">IFERROR(IF($A829&gt;=VLOOKUP($B829,Ref_Acuerdos!$A:$E,3,FALSE()),VLOOKUP($B829,Ref_Acuerdos!$A:$E,4,FALSE()),""),"")</f>
        <v/>
      </c>
      <c r="K829" s="4" t="str">
        <f aca="false">IFERROR(IF($A829&gt;=VLOOKUP($B829,Ref_Acuerdos!$A:$E,3,FALSE()),VLOOKUP($B829,Ref_Acuerdos!$A:$E,5,FALSE()),"Sin FTA/PTA vigente ese año - arancel NMF"),"Sin FTA/PTA identificado - arancel NMF")</f>
        <v>Sin FTA/PTA identificado - arancel NMF</v>
      </c>
    </row>
    <row r="830" customFormat="false" ht="15" hidden="false" customHeight="false" outlineLevel="0" collapsed="false">
      <c r="A830" s="2" t="n">
        <v>2021</v>
      </c>
      <c r="B830" s="2" t="s">
        <v>120</v>
      </c>
      <c r="C830" s="4" t="str">
        <f aca="false">IFERROR(VLOOKUP($B830,Ref_Continente!$A:$B,2,FALSE()),"Sin clasificar")</f>
        <v>Asia</v>
      </c>
      <c r="D830" s="5" t="n">
        <v>350</v>
      </c>
      <c r="E830" s="6" t="n">
        <v>60</v>
      </c>
      <c r="F830" s="6" t="n">
        <v>17600</v>
      </c>
      <c r="G830" s="5" t="n">
        <v>366474752771.01</v>
      </c>
      <c r="H830" s="4" t="n">
        <f aca="false">IFERROR(IF(AND(VLOOKUP($B830,Ref_Acuerdos!$A:$E,2,FALSE())="FTA",$A830&gt;=VLOOKUP($B830,Ref_Acuerdos!$A:$E,3,FALSE())),1,0),0)</f>
        <v>0</v>
      </c>
      <c r="I830" s="4" t="n">
        <f aca="false">IFERROR(IF(AND(VLOOKUP($B830,Ref_Acuerdos!$A:$E,2,FALSE())="PTA",$A830&gt;=VLOOKUP($B830,Ref_Acuerdos!$A:$E,3,FALSE())),1,0),0)</f>
        <v>0</v>
      </c>
      <c r="J830" s="7" t="str">
        <f aca="false">IFERROR(IF($A830&gt;=VLOOKUP($B830,Ref_Acuerdos!$A:$E,3,FALSE()),VLOOKUP($B830,Ref_Acuerdos!$A:$E,4,FALSE()),""),"")</f>
        <v/>
      </c>
      <c r="K830" s="4" t="str">
        <f aca="false">IFERROR(IF($A830&gt;=VLOOKUP($B830,Ref_Acuerdos!$A:$E,3,FALSE()),VLOOKUP($B830,Ref_Acuerdos!$A:$E,5,FALSE()),"Sin FTA/PTA vigente ese año - arancel NMF"),"Sin FTA/PTA identificado - arancel NMF")</f>
        <v>Sin FTA/PTA identificado - arancel NMF</v>
      </c>
    </row>
    <row r="831" customFormat="false" ht="15" hidden="false" customHeight="false" outlineLevel="0" collapsed="false">
      <c r="A831" s="2" t="n">
        <v>2021</v>
      </c>
      <c r="B831" s="2" t="s">
        <v>44</v>
      </c>
      <c r="C831" s="4" t="str">
        <f aca="false">IFERROR(VLOOKUP($B831,Ref_Continente!$A:$B,2,FALSE()),"Sin clasificar")</f>
        <v>Asia</v>
      </c>
      <c r="D831" s="5" t="n">
        <v>250</v>
      </c>
      <c r="E831" s="6" t="n">
        <v>150</v>
      </c>
      <c r="F831" s="6" t="n">
        <v>11600</v>
      </c>
      <c r="G831" s="5" t="n">
        <v>18853115588.81</v>
      </c>
      <c r="H831" s="4" t="n">
        <f aca="false">IFERROR(IF(AND(VLOOKUP($B831,Ref_Acuerdos!$A:$E,2,FALSE())="FTA",$A831&gt;=VLOOKUP($B831,Ref_Acuerdos!$A:$E,3,FALSE())),1,0),0)</f>
        <v>0</v>
      </c>
      <c r="I831" s="4" t="n">
        <f aca="false">IFERROR(IF(AND(VLOOKUP($B831,Ref_Acuerdos!$A:$E,2,FALSE())="PTA",$A831&gt;=VLOOKUP($B831,Ref_Acuerdos!$A:$E,3,FALSE())),1,0),0)</f>
        <v>0</v>
      </c>
      <c r="J831" s="7" t="str">
        <f aca="false">IFERROR(IF($A831&gt;=VLOOKUP($B831,Ref_Acuerdos!$A:$E,3,FALSE()),VLOOKUP($B831,Ref_Acuerdos!$A:$E,4,FALSE()),""),"")</f>
        <v/>
      </c>
      <c r="K831" s="4" t="str">
        <f aca="false">IFERROR(IF($A831&gt;=VLOOKUP($B831,Ref_Acuerdos!$A:$E,3,FALSE()),VLOOKUP($B831,Ref_Acuerdos!$A:$E,5,FALSE()),"Sin FTA/PTA vigente ese año - arancel NMF"),"Sin FTA/PTA identificado - arancel NMF")</f>
        <v>Sin FTA/PTA identificado - arancel NMF</v>
      </c>
    </row>
    <row r="832" customFormat="false" ht="15" hidden="false" customHeight="false" outlineLevel="0" collapsed="false">
      <c r="A832" s="2" t="n">
        <v>2021</v>
      </c>
      <c r="B832" s="2" t="s">
        <v>89</v>
      </c>
      <c r="C832" s="4" t="str">
        <f aca="false">IFERROR(VLOOKUP($B832,Ref_Continente!$A:$B,2,FALSE()),"Sin clasificar")</f>
        <v>Asia</v>
      </c>
      <c r="D832" s="5" t="n">
        <v>220</v>
      </c>
      <c r="E832" s="6" t="n">
        <v>82</v>
      </c>
      <c r="F832" s="6" t="n">
        <v>17800</v>
      </c>
      <c r="G832" s="5" t="n">
        <v>394087359848.11</v>
      </c>
      <c r="H832" s="4" t="n">
        <f aca="false">IFERROR(IF(AND(VLOOKUP($B832,Ref_Acuerdos!$A:$E,2,FALSE())="FTA",$A832&gt;=VLOOKUP($B832,Ref_Acuerdos!$A:$E,3,FALSE())),1,0),0)</f>
        <v>0</v>
      </c>
      <c r="I832" s="4" t="n">
        <f aca="false">IFERROR(IF(AND(VLOOKUP($B832,Ref_Acuerdos!$A:$E,2,FALSE())="PTA",$A832&gt;=VLOOKUP($B832,Ref_Acuerdos!$A:$E,3,FALSE())),1,0),0)</f>
        <v>0</v>
      </c>
      <c r="J832" s="7" t="str">
        <f aca="false">IFERROR(IF($A832&gt;=VLOOKUP($B832,Ref_Acuerdos!$A:$E,3,FALSE()),VLOOKUP($B832,Ref_Acuerdos!$A:$E,4,FALSE()),""),"")</f>
        <v/>
      </c>
      <c r="K832" s="4" t="str">
        <f aca="false">IFERROR(IF($A832&gt;=VLOOKUP($B832,Ref_Acuerdos!$A:$E,3,FALSE()),VLOOKUP($B832,Ref_Acuerdos!$A:$E,5,FALSE()),"Sin FTA/PTA vigente ese año - arancel NMF"),"Sin FTA/PTA identificado - arancel NMF")</f>
        <v>Sin FTA/PTA identificado - arancel NMF</v>
      </c>
    </row>
    <row r="833" customFormat="false" ht="15" hidden="false" customHeight="false" outlineLevel="0" collapsed="false">
      <c r="A833" s="2" t="n">
        <v>2021</v>
      </c>
      <c r="B833" s="2" t="s">
        <v>18</v>
      </c>
      <c r="C833" s="4" t="str">
        <f aca="false">IFERROR(VLOOKUP($B833,Ref_Continente!$A:$B,2,FALSE()),"Sin clasificar")</f>
        <v>Asia</v>
      </c>
      <c r="D833" s="5" t="n">
        <v>198</v>
      </c>
      <c r="E833" s="6" t="n">
        <v>37</v>
      </c>
      <c r="F833" s="6" t="n">
        <v>13800</v>
      </c>
      <c r="G833" s="5" t="n">
        <v>40840212765.96</v>
      </c>
      <c r="H833" s="4" t="n">
        <f aca="false">IFERROR(IF(AND(VLOOKUP($B833,Ref_Acuerdos!$A:$E,2,FALSE())="FTA",$A833&gt;=VLOOKUP($B833,Ref_Acuerdos!$A:$E,3,FALSE())),1,0),0)</f>
        <v>0</v>
      </c>
      <c r="I833" s="4" t="n">
        <f aca="false">IFERROR(IF(AND(VLOOKUP($B833,Ref_Acuerdos!$A:$E,2,FALSE())="PTA",$A833&gt;=VLOOKUP($B833,Ref_Acuerdos!$A:$E,3,FALSE())),1,0),0)</f>
        <v>0</v>
      </c>
      <c r="J833" s="7" t="str">
        <f aca="false">IFERROR(IF($A833&gt;=VLOOKUP($B833,Ref_Acuerdos!$A:$E,3,FALSE()),VLOOKUP($B833,Ref_Acuerdos!$A:$E,4,FALSE()),""),"")</f>
        <v/>
      </c>
      <c r="K833" s="4" t="str">
        <f aca="false">IFERROR(IF($A833&gt;=VLOOKUP($B833,Ref_Acuerdos!$A:$E,3,FALSE()),VLOOKUP($B833,Ref_Acuerdos!$A:$E,5,FALSE()),"Sin FTA/PTA vigente ese año - arancel NMF"),"Sin FTA/PTA identificado - arancel NMF")</f>
        <v>Sin FTA/PTA identificado - arancel NMF</v>
      </c>
    </row>
    <row r="834" customFormat="false" ht="15" hidden="false" customHeight="false" outlineLevel="0" collapsed="false">
      <c r="A834" s="2" t="n">
        <v>2021</v>
      </c>
      <c r="B834" s="2" t="s">
        <v>6</v>
      </c>
      <c r="C834" s="4" t="str">
        <f aca="false">IFERROR(VLOOKUP($B834,Ref_Continente!$A:$B,2,FALSE()),"Sin clasificar")</f>
        <v>South America</v>
      </c>
      <c r="D834" s="5" t="n">
        <v>160</v>
      </c>
      <c r="E834" s="6" t="n">
        <v>34</v>
      </c>
      <c r="F834" s="6" t="n">
        <v>4320</v>
      </c>
      <c r="G834" s="5" t="n">
        <v>486564085480.04</v>
      </c>
      <c r="H834" s="4" t="n">
        <f aca="false">IFERROR(IF(AND(VLOOKUP($B834,Ref_Acuerdos!$A:$E,2,FALSE())="FTA",$A834&gt;=VLOOKUP($B834,Ref_Acuerdos!$A:$E,3,FALSE())),1,0),0)</f>
        <v>0</v>
      </c>
      <c r="I834" s="4" t="n">
        <f aca="false">IFERROR(IF(AND(VLOOKUP($B834,Ref_Acuerdos!$A:$E,2,FALSE())="PTA",$A834&gt;=VLOOKUP($B834,Ref_Acuerdos!$A:$E,3,FALSE())),1,0),0)</f>
        <v>1</v>
      </c>
      <c r="J834" s="7" t="n">
        <f aca="false">IFERROR(IF($A834&gt;=VLOOKUP($B834,Ref_Acuerdos!$A:$E,3,FALSE()),VLOOKUP($B834,Ref_Acuerdos!$A:$E,4,FALSE()),""),"")</f>
        <v>5</v>
      </c>
      <c r="K834" s="4" t="str">
        <f aca="false">IFERROR(IF($A834&gt;=VLOOKUP($B834,Ref_Acuerdos!$A:$E,3,FALSE()),VLOOKUP($B834,Ref_Acuerdos!$A:$E,5,FALSE()),"Sin FTA/PTA vigente ese año - arancel NMF"),"Sin FTA/PTA identificado - arancel NMF")</f>
        <v>Ecuador-Mercosur ACE 59 - preferencias parciales (tarifa referencial)</v>
      </c>
    </row>
    <row r="835" customFormat="false" ht="15" hidden="false" customHeight="false" outlineLevel="0" collapsed="false">
      <c r="A835" s="2" t="n">
        <v>2021</v>
      </c>
      <c r="B835" s="2" t="s">
        <v>29</v>
      </c>
      <c r="C835" s="4" t="str">
        <f aca="false">IFERROR(VLOOKUP($B835,Ref_Continente!$A:$B,2,FALSE()),"Sin clasificar")</f>
        <v>South America</v>
      </c>
      <c r="D835" s="5" t="n">
        <v>118</v>
      </c>
      <c r="E835" s="6" t="n">
        <v>35.3</v>
      </c>
      <c r="F835" s="6" t="n">
        <v>720</v>
      </c>
      <c r="G835" s="5" t="n">
        <v>318524633225.4</v>
      </c>
      <c r="H835" s="4" t="n">
        <f aca="false">IFERROR(IF(AND(VLOOKUP($B835,Ref_Acuerdos!$A:$E,2,FALSE())="FTA",$A835&gt;=VLOOKUP($B835,Ref_Acuerdos!$A:$E,3,FALSE())),1,0),0)</f>
        <v>0</v>
      </c>
      <c r="I835" s="4" t="n">
        <f aca="false">IFERROR(IF(AND(VLOOKUP($B835,Ref_Acuerdos!$A:$E,2,FALSE())="PTA",$A835&gt;=VLOOKUP($B835,Ref_Acuerdos!$A:$E,3,FALSE())),1,0),0)</f>
        <v>1</v>
      </c>
      <c r="J835" s="7" t="n">
        <f aca="false">IFERROR(IF($A835&gt;=VLOOKUP($B835,Ref_Acuerdos!$A:$E,3,FALSE()),VLOOKUP($B835,Ref_Acuerdos!$A:$E,4,FALSE()),""),"")</f>
        <v>0</v>
      </c>
      <c r="K835" s="4" t="str">
        <f aca="false">IFERROR(IF($A835&gt;=VLOOKUP($B835,Ref_Acuerdos!$A:$E,3,FALSE()),VLOOKUP($B835,Ref_Acuerdos!$A:$E,5,FALSE()),"Sin FTA/PTA vigente ese año - arancel NMF"),"Sin FTA/PTA identificado - arancel NMF")</f>
        <v>Comunidad Andina (CAN) - libre comercio intracomunitario</v>
      </c>
    </row>
    <row r="836" customFormat="false" ht="15" hidden="false" customHeight="false" outlineLevel="0" collapsed="false">
      <c r="A836" s="2" t="n">
        <v>2021</v>
      </c>
      <c r="B836" s="2" t="s">
        <v>81</v>
      </c>
      <c r="C836" s="4" t="str">
        <f aca="false">IFERROR(VLOOKUP($B836,Ref_Continente!$A:$B,2,FALSE()),"Sin clasificar")</f>
        <v>Africa</v>
      </c>
      <c r="D836" s="5" t="n">
        <v>96</v>
      </c>
      <c r="E836" s="6" t="n">
        <v>17.9</v>
      </c>
      <c r="F836" s="6" t="n">
        <v>9800</v>
      </c>
      <c r="G836" s="5" t="n">
        <v>609147716972.86</v>
      </c>
      <c r="H836" s="4" t="n">
        <f aca="false">IFERROR(IF(AND(VLOOKUP($B836,Ref_Acuerdos!$A:$E,2,FALSE())="FTA",$A836&gt;=VLOOKUP($B836,Ref_Acuerdos!$A:$E,3,FALSE())),1,0),0)</f>
        <v>0</v>
      </c>
      <c r="I836" s="4" t="n">
        <f aca="false">IFERROR(IF(AND(VLOOKUP($B836,Ref_Acuerdos!$A:$E,2,FALSE())="PTA",$A836&gt;=VLOOKUP($B836,Ref_Acuerdos!$A:$E,3,FALSE())),1,0),0)</f>
        <v>0</v>
      </c>
      <c r="J836" s="7" t="str">
        <f aca="false">IFERROR(IF($A836&gt;=VLOOKUP($B836,Ref_Acuerdos!$A:$E,3,FALSE()),VLOOKUP($B836,Ref_Acuerdos!$A:$E,4,FALSE()),""),"")</f>
        <v/>
      </c>
      <c r="K836" s="4" t="str">
        <f aca="false">IFERROR(IF($A836&gt;=VLOOKUP($B836,Ref_Acuerdos!$A:$E,3,FALSE()),VLOOKUP($B836,Ref_Acuerdos!$A:$E,5,FALSE()),"Sin FTA/PTA vigente ese año - arancel NMF"),"Sin FTA/PTA identificado - arancel NMF")</f>
        <v>Sin FTA/PTA identificado - arancel NMF</v>
      </c>
    </row>
    <row r="837" customFormat="false" ht="15" hidden="false" customHeight="false" outlineLevel="0" collapsed="false">
      <c r="A837" s="2" t="n">
        <v>2021</v>
      </c>
      <c r="B837" s="2" t="s">
        <v>99</v>
      </c>
      <c r="C837" s="4" t="str">
        <f aca="false">IFERROR(VLOOKUP($B837,Ref_Continente!$A:$B,2,FALSE()),"Sin clasificar")</f>
        <v>North America</v>
      </c>
      <c r="D837" s="5" t="n">
        <v>40</v>
      </c>
      <c r="E837" s="6" t="n">
        <v>6</v>
      </c>
      <c r="F837" s="6" t="n">
        <v>2650</v>
      </c>
      <c r="G837" s="5"/>
      <c r="H837" s="4" t="n">
        <f aca="false">IFERROR(IF(AND(VLOOKUP($B837,Ref_Acuerdos!$A:$E,2,FALSE())="FTA",$A837&gt;=VLOOKUP($B837,Ref_Acuerdos!$A:$E,3,FALSE())),1,0),0)</f>
        <v>0</v>
      </c>
      <c r="I837" s="4" t="n">
        <f aca="false">IFERROR(IF(AND(VLOOKUP($B837,Ref_Acuerdos!$A:$E,2,FALSE())="PTA",$A837&gt;=VLOOKUP($B837,Ref_Acuerdos!$A:$E,3,FALSE())),1,0),0)</f>
        <v>0</v>
      </c>
      <c r="J837" s="7" t="str">
        <f aca="false">IFERROR(IF($A837&gt;=VLOOKUP($B837,Ref_Acuerdos!$A:$E,3,FALSE()),VLOOKUP($B837,Ref_Acuerdos!$A:$E,4,FALSE()),""),"")</f>
        <v/>
      </c>
      <c r="K837" s="4" t="str">
        <f aca="false">IFERROR(IF($A837&gt;=VLOOKUP($B837,Ref_Acuerdos!$A:$E,3,FALSE()),VLOOKUP($B837,Ref_Acuerdos!$A:$E,5,FALSE()),"Sin FTA/PTA vigente ese año - arancel NMF"),"Sin FTA/PTA identificado - arancel NMF")</f>
        <v>Sin FTA/PTA identificado - arancel NMF</v>
      </c>
    </row>
    <row r="838" customFormat="false" ht="15" hidden="false" customHeight="false" outlineLevel="0" collapsed="false">
      <c r="A838" s="2" t="n">
        <v>2022</v>
      </c>
      <c r="B838" s="2" t="s">
        <v>61</v>
      </c>
      <c r="C838" s="4" t="str">
        <f aca="false">IFERROR(VLOOKUP($B838,Ref_Continente!$A:$B,2,FALSE()),"Sin clasificar")</f>
        <v>Asia</v>
      </c>
      <c r="D838" s="5" t="n">
        <v>6351201</v>
      </c>
      <c r="E838" s="6" t="n">
        <v>884965</v>
      </c>
      <c r="F838" s="6" t="n">
        <v>14500</v>
      </c>
      <c r="G838" s="5" t="n">
        <v>4262463317796.53</v>
      </c>
      <c r="H838" s="4" t="n">
        <f aca="false">IFERROR(IF(AND(VLOOKUP($B838,Ref_Acuerdos!$A:$E,2,FALSE())="FTA",$A838&gt;=VLOOKUP($B838,Ref_Acuerdos!$A:$E,3,FALSE())),1,0),0)</f>
        <v>0</v>
      </c>
      <c r="I838" s="4" t="n">
        <f aca="false">IFERROR(IF(AND(VLOOKUP($B838,Ref_Acuerdos!$A:$E,2,FALSE())="PTA",$A838&gt;=VLOOKUP($B838,Ref_Acuerdos!$A:$E,3,FALSE())),1,0),0)</f>
        <v>0</v>
      </c>
      <c r="J838" s="7" t="str">
        <f aca="false">IFERROR(IF($A838&gt;=VLOOKUP($B838,Ref_Acuerdos!$A:$E,3,FALSE()),VLOOKUP($B838,Ref_Acuerdos!$A:$E,4,FALSE()),""),"")</f>
        <v/>
      </c>
      <c r="K838" s="4" t="str">
        <f aca="false">IFERROR(IF($A838&gt;=VLOOKUP($B838,Ref_Acuerdos!$A:$E,3,FALSE()),VLOOKUP($B838,Ref_Acuerdos!$A:$E,5,FALSE()),"Sin FTA/PTA vigente ese año - arancel NMF"),"Sin FTA/PTA identificado - arancel NMF")</f>
        <v>Sin FTA/PTA identificado - arancel NMF</v>
      </c>
    </row>
    <row r="839" customFormat="false" ht="15" hidden="false" customHeight="false" outlineLevel="0" collapsed="false">
      <c r="A839" s="2" t="n">
        <v>2022</v>
      </c>
      <c r="B839" s="2" t="s">
        <v>63</v>
      </c>
      <c r="C839" s="4" t="str">
        <f aca="false">IFERROR(VLOOKUP($B839,Ref_Continente!$A:$B,2,FALSE()),"Sin clasificar")</f>
        <v>Asia</v>
      </c>
      <c r="D839" s="5" t="n">
        <v>5443491</v>
      </c>
      <c r="E839" s="6" t="n">
        <v>1246570.2</v>
      </c>
      <c r="F839" s="6" t="n">
        <v>13600</v>
      </c>
      <c r="G839" s="5" t="n">
        <v>225496328925.49</v>
      </c>
      <c r="H839" s="4" t="n">
        <f aca="false">IFERROR(IF(AND(VLOOKUP($B839,Ref_Acuerdos!$A:$E,2,FALSE())="FTA",$A839&gt;=VLOOKUP($B839,Ref_Acuerdos!$A:$E,3,FALSE())),1,0),0)</f>
        <v>0</v>
      </c>
      <c r="I839" s="4" t="n">
        <f aca="false">IFERROR(IF(AND(VLOOKUP($B839,Ref_Acuerdos!$A:$E,2,FALSE())="PTA",$A839&gt;=VLOOKUP($B839,Ref_Acuerdos!$A:$E,3,FALSE())),1,0),0)</f>
        <v>0</v>
      </c>
      <c r="J839" s="7" t="str">
        <f aca="false">IFERROR(IF($A839&gt;=VLOOKUP($B839,Ref_Acuerdos!$A:$E,3,FALSE()),VLOOKUP($B839,Ref_Acuerdos!$A:$E,4,FALSE()),""),"")</f>
        <v/>
      </c>
      <c r="K839" s="4" t="str">
        <f aca="false">IFERROR(IF($A839&gt;=VLOOKUP($B839,Ref_Acuerdos!$A:$E,3,FALSE()),VLOOKUP($B839,Ref_Acuerdos!$A:$E,5,FALSE()),"Sin FTA/PTA vigente ese año - arancel NMF"),"Sin FTA/PTA identificado - arancel NMF")</f>
        <v>Sin FTA/PTA identificado - arancel NMF</v>
      </c>
    </row>
    <row r="840" customFormat="false" ht="15" hidden="false" customHeight="false" outlineLevel="0" collapsed="false">
      <c r="A840" s="2" t="n">
        <v>2022</v>
      </c>
      <c r="B840" s="2" t="s">
        <v>114</v>
      </c>
      <c r="C840" s="4" t="str">
        <f aca="false">IFERROR(VLOOKUP($B840,Ref_Continente!$A:$B,2,FALSE()),"Sin clasificar")</f>
        <v>North America</v>
      </c>
      <c r="D840" s="5" t="n">
        <v>5159418</v>
      </c>
      <c r="E840" s="6" t="n">
        <v>685793.3</v>
      </c>
      <c r="F840" s="6" t="n">
        <v>4550</v>
      </c>
      <c r="G840" s="5" t="n">
        <v>25604848907611</v>
      </c>
      <c r="H840" s="4" t="n">
        <f aca="false">IFERROR(IF(AND(VLOOKUP($B840,Ref_Acuerdos!$A:$E,2,FALSE())="FTA",$A840&gt;=VLOOKUP($B840,Ref_Acuerdos!$A:$E,3,FALSE())),1,0),0)</f>
        <v>0</v>
      </c>
      <c r="I840" s="4" t="n">
        <f aca="false">IFERROR(IF(AND(VLOOKUP($B840,Ref_Acuerdos!$A:$E,2,FALSE())="PTA",$A840&gt;=VLOOKUP($B840,Ref_Acuerdos!$A:$E,3,FALSE())),1,0),0)</f>
        <v>0</v>
      </c>
      <c r="J840" s="7" t="str">
        <f aca="false">IFERROR(IF($A840&gt;=VLOOKUP($B840,Ref_Acuerdos!$A:$E,3,FALSE()),VLOOKUP($B840,Ref_Acuerdos!$A:$E,4,FALSE()),""),"")</f>
        <v/>
      </c>
      <c r="K840" s="4" t="str">
        <f aca="false">IFERROR(IF($A840&gt;=VLOOKUP($B840,Ref_Acuerdos!$A:$E,3,FALSE()),VLOOKUP($B840,Ref_Acuerdos!$A:$E,5,FALSE()),"Sin FTA/PTA vigente ese año - arancel NMF"),"Sin FTA/PTA identificado - arancel NMF")</f>
        <v>Sin FTA/PTA identificado - arancel NMF</v>
      </c>
    </row>
    <row r="841" customFormat="false" ht="15" hidden="false" customHeight="false" outlineLevel="0" collapsed="false">
      <c r="A841" s="2" t="n">
        <v>2022</v>
      </c>
      <c r="B841" s="2" t="s">
        <v>77</v>
      </c>
      <c r="C841" s="4" t="str">
        <f aca="false">IFERROR(VLOOKUP($B841,Ref_Continente!$A:$B,2,FALSE()),"Sin clasificar")</f>
        <v>Europe</v>
      </c>
      <c r="D841" s="5" t="n">
        <v>1966358</v>
      </c>
      <c r="E841" s="6" t="n">
        <v>362399.4</v>
      </c>
      <c r="F841" s="6" t="n">
        <v>9300</v>
      </c>
      <c r="G841" s="5" t="n">
        <v>1046540797548.64</v>
      </c>
      <c r="H841" s="4" t="n">
        <f aca="false">IFERROR(IF(AND(VLOOKUP($B841,Ref_Acuerdos!$A:$E,2,FALSE())="FTA",$A841&gt;=VLOOKUP($B841,Ref_Acuerdos!$A:$E,3,FALSE())),1,0),0)</f>
        <v>1</v>
      </c>
      <c r="I841" s="4" t="n">
        <f aca="false">IFERROR(IF(AND(VLOOKUP($B841,Ref_Acuerdos!$A:$E,2,FALSE())="PTA",$A841&gt;=VLOOKUP($B841,Ref_Acuerdos!$A:$E,3,FALSE())),1,0),0)</f>
        <v>0</v>
      </c>
      <c r="J841" s="7" t="n">
        <f aca="false">IFERROR(IF($A841&gt;=VLOOKUP($B841,Ref_Acuerdos!$A:$E,3,FALSE()),VLOOKUP($B841,Ref_Acuerdos!$A:$E,4,FALSE()),""),"")</f>
        <v>0</v>
      </c>
      <c r="K841" s="4" t="str">
        <f aca="false">IFERROR(IF($A841&gt;=VLOOKUP($B841,Ref_Acuerdos!$A:$E,3,FALSE()),VLOOKUP($B841,Ref_Acuerdos!$A:$E,5,FALSE()),"Sin FTA/PTA vigente ese año - arancel NMF"),"Sin FTA/PTA identificado - arancel NMF")</f>
        <v>UE-Ecuador Acuerdo Multipartes, vigente desde ene-2017</v>
      </c>
    </row>
    <row r="842" customFormat="false" ht="15" hidden="false" customHeight="false" outlineLevel="0" collapsed="false">
      <c r="A842" s="2" t="n">
        <v>2022</v>
      </c>
      <c r="B842" s="2" t="s">
        <v>96</v>
      </c>
      <c r="C842" s="4" t="str">
        <f aca="false">IFERROR(VLOOKUP($B842,Ref_Continente!$A:$B,2,FALSE()),"Sin clasificar")</f>
        <v>Europe</v>
      </c>
      <c r="D842" s="5" t="n">
        <v>1279481</v>
      </c>
      <c r="E842" s="6" t="n">
        <v>247196</v>
      </c>
      <c r="F842" s="6" t="n">
        <v>12000</v>
      </c>
      <c r="G842" s="5" t="n">
        <v>2291612121334.64</v>
      </c>
      <c r="H842" s="4" t="n">
        <f aca="false">IFERROR(IF(AND(VLOOKUP($B842,Ref_Acuerdos!$A:$E,2,FALSE())="FTA",$A842&gt;=VLOOKUP($B842,Ref_Acuerdos!$A:$E,3,FALSE())),1,0),0)</f>
        <v>0</v>
      </c>
      <c r="I842" s="4" t="n">
        <f aca="false">IFERROR(IF(AND(VLOOKUP($B842,Ref_Acuerdos!$A:$E,2,FALSE())="PTA",$A842&gt;=VLOOKUP($B842,Ref_Acuerdos!$A:$E,3,FALSE())),1,0),0)</f>
        <v>0</v>
      </c>
      <c r="J842" s="7" t="str">
        <f aca="false">IFERROR(IF($A842&gt;=VLOOKUP($B842,Ref_Acuerdos!$A:$E,3,FALSE()),VLOOKUP($B842,Ref_Acuerdos!$A:$E,4,FALSE()),""),"")</f>
        <v/>
      </c>
      <c r="K842" s="4" t="str">
        <f aca="false">IFERROR(IF($A842&gt;=VLOOKUP($B842,Ref_Acuerdos!$A:$E,3,FALSE()),VLOOKUP($B842,Ref_Acuerdos!$A:$E,5,FALSE()),"Sin FTA/PTA vigente ese año - arancel NMF"),"Sin FTA/PTA identificado - arancel NMF")</f>
        <v>Sin FTA/PTA identificado - arancel NMF</v>
      </c>
    </row>
    <row r="843" customFormat="false" ht="15" hidden="false" customHeight="false" outlineLevel="0" collapsed="false">
      <c r="A843" s="2" t="n">
        <v>2022</v>
      </c>
      <c r="B843" s="2" t="s">
        <v>115</v>
      </c>
      <c r="C843" s="4" t="str">
        <f aca="false">IFERROR(VLOOKUP($B843,Ref_Continente!$A:$B,2,FALSE()),"Sin clasificar")</f>
        <v>Europe</v>
      </c>
      <c r="D843" s="5" t="n">
        <v>490601</v>
      </c>
      <c r="E843" s="6" t="n">
        <v>128859</v>
      </c>
      <c r="F843" s="6" t="n">
        <v>11</v>
      </c>
      <c r="G843" s="5" t="n">
        <v>161989520721.19</v>
      </c>
      <c r="H843" s="4" t="n">
        <f aca="false">IFERROR(IF(AND(VLOOKUP($B843,Ref_Acuerdos!$A:$E,2,FALSE())="FTA",$A843&gt;=VLOOKUP($B843,Ref_Acuerdos!$A:$E,3,FALSE())),1,0),0)</f>
        <v>0</v>
      </c>
      <c r="I843" s="4" t="n">
        <f aca="false">IFERROR(IF(AND(VLOOKUP($B843,Ref_Acuerdos!$A:$E,2,FALSE())="PTA",$A843&gt;=VLOOKUP($B843,Ref_Acuerdos!$A:$E,3,FALSE())),1,0),0)</f>
        <v>0</v>
      </c>
      <c r="J843" s="7" t="str">
        <f aca="false">IFERROR(IF($A843&gt;=VLOOKUP($B843,Ref_Acuerdos!$A:$E,3,FALSE()),VLOOKUP($B843,Ref_Acuerdos!$A:$E,4,FALSE()),""),"")</f>
        <v/>
      </c>
      <c r="K843" s="4" t="str">
        <f aca="false">IFERROR(IF($A843&gt;=VLOOKUP($B843,Ref_Acuerdos!$A:$E,3,FALSE()),VLOOKUP($B843,Ref_Acuerdos!$A:$E,5,FALSE()),"Sin FTA/PTA vigente ese año - arancel NMF"),"Sin FTA/PTA identificado - arancel NMF")</f>
        <v>Sin FTA/PTA identificado - arancel NMF</v>
      </c>
    </row>
    <row r="844" customFormat="false" ht="15" hidden="false" customHeight="false" outlineLevel="0" collapsed="false">
      <c r="A844" s="2" t="n">
        <v>2022</v>
      </c>
      <c r="B844" s="2" t="s">
        <v>26</v>
      </c>
      <c r="C844" s="4" t="str">
        <f aca="false">IFERROR(VLOOKUP($B844,Ref_Continente!$A:$B,2,FALSE()),"Sin clasificar")</f>
        <v>South America</v>
      </c>
      <c r="D844" s="5" t="n">
        <v>488021</v>
      </c>
      <c r="E844" s="6" t="n">
        <v>111016.7</v>
      </c>
      <c r="F844" s="6" t="n">
        <v>2600</v>
      </c>
      <c r="G844" s="5" t="n">
        <v>301226575540.24</v>
      </c>
      <c r="H844" s="4" t="n">
        <f aca="false">IFERROR(IF(AND(VLOOKUP($B844,Ref_Acuerdos!$A:$E,2,FALSE())="FTA",$A844&gt;=VLOOKUP($B844,Ref_Acuerdos!$A:$E,3,FALSE())),1,0),0)</f>
        <v>1</v>
      </c>
      <c r="I844" s="4" t="n">
        <f aca="false">IFERROR(IF(AND(VLOOKUP($B844,Ref_Acuerdos!$A:$E,2,FALSE())="PTA",$A844&gt;=VLOOKUP($B844,Ref_Acuerdos!$A:$E,3,FALSE())),1,0),0)</f>
        <v>0</v>
      </c>
      <c r="J844" s="7" t="n">
        <f aca="false">IFERROR(IF($A844&gt;=VLOOKUP($B844,Ref_Acuerdos!$A:$E,3,FALSE()),VLOOKUP($B844,Ref_Acuerdos!$A:$E,4,FALSE()),""),"")</f>
        <v>0</v>
      </c>
      <c r="K844" s="4" t="str">
        <f aca="false">IFERROR(IF($A844&gt;=VLOOKUP($B844,Ref_Acuerdos!$A:$E,3,FALSE()),VLOOKUP($B844,Ref_Acuerdos!$A:$E,5,FALSE()),"Sin FTA/PTA vigente ese año - arancel NMF"),"Sin FTA/PTA identificado - arancel NMF")</f>
        <v>Ecuador-Chile ACE 65, vigente desde 2010</v>
      </c>
    </row>
    <row r="845" customFormat="false" ht="15" hidden="false" customHeight="false" outlineLevel="0" collapsed="false">
      <c r="A845" s="2" t="n">
        <v>2022</v>
      </c>
      <c r="B845" s="2" t="s">
        <v>19</v>
      </c>
      <c r="C845" s="4" t="str">
        <f aca="false">IFERROR(VLOOKUP($B845,Ref_Continente!$A:$B,2,FALSE()),"Sin clasificar")</f>
        <v>Europe</v>
      </c>
      <c r="D845" s="5" t="n">
        <v>478659</v>
      </c>
      <c r="E845" s="6" t="n">
        <v>112064.4</v>
      </c>
      <c r="F845" s="6" t="n">
        <v>10600</v>
      </c>
      <c r="G845" s="5" t="n">
        <v>73775179924.6</v>
      </c>
      <c r="H845" s="4" t="n">
        <f aca="false">IFERROR(IF(AND(VLOOKUP($B845,Ref_Acuerdos!$A:$E,2,FALSE())="FTA",$A845&gt;=VLOOKUP($B845,Ref_Acuerdos!$A:$E,3,FALSE())),1,0),0)</f>
        <v>0</v>
      </c>
      <c r="I845" s="4" t="n">
        <f aca="false">IFERROR(IF(AND(VLOOKUP($B845,Ref_Acuerdos!$A:$E,2,FALSE())="PTA",$A845&gt;=VLOOKUP($B845,Ref_Acuerdos!$A:$E,3,FALSE())),1,0),0)</f>
        <v>0</v>
      </c>
      <c r="J845" s="7" t="str">
        <f aca="false">IFERROR(IF($A845&gt;=VLOOKUP($B845,Ref_Acuerdos!$A:$E,3,FALSE()),VLOOKUP($B845,Ref_Acuerdos!$A:$E,4,FALSE()),""),"")</f>
        <v/>
      </c>
      <c r="K845" s="4" t="str">
        <f aca="false">IFERROR(IF($A845&gt;=VLOOKUP($B845,Ref_Acuerdos!$A:$E,3,FALSE()),VLOOKUP($B845,Ref_Acuerdos!$A:$E,5,FALSE()),"Sin FTA/PTA vigente ese año - arancel NMF"),"Sin FTA/PTA identificado - arancel NMF")</f>
        <v>Sin FTA/PTA identificado - arancel NMF</v>
      </c>
    </row>
    <row r="846" customFormat="false" ht="15" hidden="false" customHeight="false" outlineLevel="0" collapsed="false">
      <c r="A846" s="2" t="n">
        <v>2022</v>
      </c>
      <c r="B846" s="2" t="s">
        <v>105</v>
      </c>
      <c r="C846" s="4" t="str">
        <f aca="false">IFERROR(VLOOKUP($B846,Ref_Continente!$A:$B,2,FALSE()),"Sin clasificar")</f>
        <v>Europe</v>
      </c>
      <c r="D846" s="5" t="n">
        <v>468763</v>
      </c>
      <c r="E846" s="6" t="n">
        <v>71611.6</v>
      </c>
      <c r="F846" s="6" t="n">
        <v>8700</v>
      </c>
      <c r="G846" s="5" t="n">
        <v>1448850658406.62</v>
      </c>
      <c r="H846" s="4" t="n">
        <f aca="false">IFERROR(IF(AND(VLOOKUP($B846,Ref_Acuerdos!$A:$E,2,FALSE())="FTA",$A846&gt;=VLOOKUP($B846,Ref_Acuerdos!$A:$E,3,FALSE())),1,0),0)</f>
        <v>1</v>
      </c>
      <c r="I846" s="4" t="n">
        <f aca="false">IFERROR(IF(AND(VLOOKUP($B846,Ref_Acuerdos!$A:$E,2,FALSE())="PTA",$A846&gt;=VLOOKUP($B846,Ref_Acuerdos!$A:$E,3,FALSE())),1,0),0)</f>
        <v>0</v>
      </c>
      <c r="J846" s="7" t="n">
        <f aca="false">IFERROR(IF($A846&gt;=VLOOKUP($B846,Ref_Acuerdos!$A:$E,3,FALSE()),VLOOKUP($B846,Ref_Acuerdos!$A:$E,4,FALSE()),""),"")</f>
        <v>0</v>
      </c>
      <c r="K846" s="4" t="str">
        <f aca="false">IFERROR(IF($A846&gt;=VLOOKUP($B846,Ref_Acuerdos!$A:$E,3,FALSE()),VLOOKUP($B846,Ref_Acuerdos!$A:$E,5,FALSE()),"Sin FTA/PTA vigente ese año - arancel NMF"),"Sin FTA/PTA identificado - arancel NMF")</f>
        <v>UE-Ecuador Acuerdo Multipartes, vigente desde ene-2017</v>
      </c>
    </row>
    <row r="847" customFormat="false" ht="15" hidden="false" customHeight="false" outlineLevel="0" collapsed="false">
      <c r="A847" s="2" t="n">
        <v>2022</v>
      </c>
      <c r="B847" s="2" t="s">
        <v>12</v>
      </c>
      <c r="C847" s="4" t="str">
        <f aca="false">IFERROR(VLOOKUP($B847,Ref_Continente!$A:$B,2,FALSE()),"Sin clasificar")</f>
        <v>Oceania</v>
      </c>
      <c r="D847" s="5" t="n">
        <v>398805</v>
      </c>
      <c r="E847" s="6" t="n">
        <v>54381</v>
      </c>
      <c r="F847" s="6" t="n">
        <v>14000</v>
      </c>
      <c r="G847" s="5" t="n">
        <v>1695627535475.8</v>
      </c>
      <c r="H847" s="4" t="n">
        <f aca="false">IFERROR(IF(AND(VLOOKUP($B847,Ref_Acuerdos!$A:$E,2,FALSE())="FTA",$A847&gt;=VLOOKUP($B847,Ref_Acuerdos!$A:$E,3,FALSE())),1,0),0)</f>
        <v>0</v>
      </c>
      <c r="I847" s="4" t="n">
        <f aca="false">IFERROR(IF(AND(VLOOKUP($B847,Ref_Acuerdos!$A:$E,2,FALSE())="PTA",$A847&gt;=VLOOKUP($B847,Ref_Acuerdos!$A:$E,3,FALSE())),1,0),0)</f>
        <v>0</v>
      </c>
      <c r="J847" s="7" t="str">
        <f aca="false">IFERROR(IF($A847&gt;=VLOOKUP($B847,Ref_Acuerdos!$A:$E,3,FALSE()),VLOOKUP($B847,Ref_Acuerdos!$A:$E,4,FALSE()),""),"")</f>
        <v/>
      </c>
      <c r="K847" s="4" t="str">
        <f aca="false">IFERROR(IF($A847&gt;=VLOOKUP($B847,Ref_Acuerdos!$A:$E,3,FALSE()),VLOOKUP($B847,Ref_Acuerdos!$A:$E,5,FALSE()),"Sin FTA/PTA vigente ese año - arancel NMF"),"Sin FTA/PTA identificado - arancel NMF")</f>
        <v>Sin FTA/PTA identificado - arancel NMF</v>
      </c>
    </row>
    <row r="848" customFormat="false" ht="15" hidden="false" customHeight="false" outlineLevel="0" collapsed="false">
      <c r="A848" s="2" t="n">
        <v>2022</v>
      </c>
      <c r="B848" s="2" t="s">
        <v>113</v>
      </c>
      <c r="C848" s="4" t="str">
        <f aca="false">IFERROR(VLOOKUP($B848,Ref_Continente!$A:$B,2,FALSE()),"Sin clasificar")</f>
        <v>Europe</v>
      </c>
      <c r="D848" s="5" t="n">
        <v>299147</v>
      </c>
      <c r="E848" s="6" t="n">
        <v>52383.6</v>
      </c>
      <c r="F848" s="6" t="n">
        <v>11600</v>
      </c>
      <c r="G848" s="5" t="n">
        <v>926097476913.82</v>
      </c>
      <c r="H848" s="4" t="n">
        <f aca="false">IFERROR(IF(AND(VLOOKUP($B848,Ref_Acuerdos!$A:$E,2,FALSE())="FTA",$A848&gt;=VLOOKUP($B848,Ref_Acuerdos!$A:$E,3,FALSE())),1,0),0)</f>
        <v>0</v>
      </c>
      <c r="I848" s="4" t="n">
        <f aca="false">IFERROR(IF(AND(VLOOKUP($B848,Ref_Acuerdos!$A:$E,2,FALSE())="PTA",$A848&gt;=VLOOKUP($B848,Ref_Acuerdos!$A:$E,3,FALSE())),1,0),0)</f>
        <v>0</v>
      </c>
      <c r="J848" s="7" t="str">
        <f aca="false">IFERROR(IF($A848&gt;=VLOOKUP($B848,Ref_Acuerdos!$A:$E,3,FALSE()),VLOOKUP($B848,Ref_Acuerdos!$A:$E,4,FALSE()),""),"")</f>
        <v/>
      </c>
      <c r="K848" s="4" t="str">
        <f aca="false">IFERROR(IF($A848&gt;=VLOOKUP($B848,Ref_Acuerdos!$A:$E,3,FALSE()),VLOOKUP($B848,Ref_Acuerdos!$A:$E,5,FALSE()),"Sin FTA/PTA vigente ese año - arancel NMF"),"Sin FTA/PTA identificado - arancel NMF")</f>
        <v>Sin FTA/PTA identificado - arancel NMF</v>
      </c>
    </row>
    <row r="849" customFormat="false" ht="15" hidden="false" customHeight="false" outlineLevel="0" collapsed="false">
      <c r="A849" s="2" t="n">
        <v>2022</v>
      </c>
      <c r="B849" s="2" t="s">
        <v>37</v>
      </c>
      <c r="C849" s="4" t="str">
        <f aca="false">IFERROR(VLOOKUP($B849,Ref_Continente!$A:$B,2,FALSE()),"Sin clasificar")</f>
        <v>North America</v>
      </c>
      <c r="D849" s="5" t="n">
        <v>295990</v>
      </c>
      <c r="E849" s="6" t="n">
        <v>48914.9</v>
      </c>
      <c r="F849" s="6" t="n">
        <v>2200</v>
      </c>
      <c r="G849" s="5" t="n">
        <v>113478087134.8</v>
      </c>
      <c r="H849" s="4" t="n">
        <f aca="false">IFERROR(IF(AND(VLOOKUP($B849,Ref_Acuerdos!$A:$E,2,FALSE())="FTA",$A849&gt;=VLOOKUP($B849,Ref_Acuerdos!$A:$E,3,FALSE())),1,0),0)</f>
        <v>0</v>
      </c>
      <c r="I849" s="4" t="n">
        <f aca="false">IFERROR(IF(AND(VLOOKUP($B849,Ref_Acuerdos!$A:$E,2,FALSE())="PTA",$A849&gt;=VLOOKUP($B849,Ref_Acuerdos!$A:$E,3,FALSE())),1,0),0)</f>
        <v>0</v>
      </c>
      <c r="J849" s="7" t="str">
        <f aca="false">IFERROR(IF($A849&gt;=VLOOKUP($B849,Ref_Acuerdos!$A:$E,3,FALSE()),VLOOKUP($B849,Ref_Acuerdos!$A:$E,4,FALSE()),""),"")</f>
        <v/>
      </c>
      <c r="K849" s="4" t="str">
        <f aca="false">IFERROR(IF($A849&gt;=VLOOKUP($B849,Ref_Acuerdos!$A:$E,3,FALSE()),VLOOKUP($B849,Ref_Acuerdos!$A:$E,5,FALSE()),"Sin FTA/PTA vigente ese año - arancel NMF"),"Sin FTA/PTA identificado - arancel NMF")</f>
        <v>Sin FTA/PTA identificado - arancel NMF</v>
      </c>
    </row>
    <row r="850" customFormat="false" ht="15" hidden="false" customHeight="false" outlineLevel="0" collapsed="false">
      <c r="A850" s="2" t="n">
        <v>2022</v>
      </c>
      <c r="B850" s="2" t="s">
        <v>65</v>
      </c>
      <c r="C850" s="4" t="str">
        <f aca="false">IFERROR(VLOOKUP($B850,Ref_Continente!$A:$B,2,FALSE()),"Sin clasificar")</f>
        <v>Asia</v>
      </c>
      <c r="D850" s="5" t="n">
        <v>256922</v>
      </c>
      <c r="E850" s="6" t="n">
        <v>29816.3</v>
      </c>
      <c r="F850" s="6" t="n">
        <v>14300</v>
      </c>
      <c r="G850" s="5"/>
      <c r="H850" s="4" t="n">
        <f aca="false">IFERROR(IF(AND(VLOOKUP($B850,Ref_Acuerdos!$A:$E,2,FALSE())="FTA",$A850&gt;=VLOOKUP($B850,Ref_Acuerdos!$A:$E,3,FALSE())),1,0),0)</f>
        <v>0</v>
      </c>
      <c r="I850" s="4" t="n">
        <f aca="false">IFERROR(IF(AND(VLOOKUP($B850,Ref_Acuerdos!$A:$E,2,FALSE())="PTA",$A850&gt;=VLOOKUP($B850,Ref_Acuerdos!$A:$E,3,FALSE())),1,0),0)</f>
        <v>0</v>
      </c>
      <c r="J850" s="7" t="str">
        <f aca="false">IFERROR(IF($A850&gt;=VLOOKUP($B850,Ref_Acuerdos!$A:$E,3,FALSE()),VLOOKUP($B850,Ref_Acuerdos!$A:$E,4,FALSE()),""),"")</f>
        <v/>
      </c>
      <c r="K850" s="4" t="str">
        <f aca="false">IFERROR(IF($A850&gt;=VLOOKUP($B850,Ref_Acuerdos!$A:$E,3,FALSE()),VLOOKUP($B850,Ref_Acuerdos!$A:$E,5,FALSE()),"Sin FTA/PTA vigente ese año - arancel NMF"),"Sin FTA/PTA identificado - arancel NMF")</f>
        <v>Sin FTA/PTA identificado - arancel NMF</v>
      </c>
    </row>
    <row r="851" customFormat="false" ht="15" hidden="false" customHeight="false" outlineLevel="0" collapsed="false">
      <c r="A851" s="2" t="n">
        <v>2022</v>
      </c>
      <c r="B851" s="2" t="s">
        <v>88</v>
      </c>
      <c r="C851" s="4" t="str">
        <f aca="false">IFERROR(VLOOKUP($B851,Ref_Continente!$A:$B,2,FALSE()),"Sin clasificar")</f>
        <v>South America</v>
      </c>
      <c r="D851" s="5" t="n">
        <v>231468</v>
      </c>
      <c r="E851" s="6" t="n">
        <v>11494</v>
      </c>
      <c r="F851" s="6" t="n">
        <v>1320</v>
      </c>
      <c r="G851" s="5" t="n">
        <v>246065570308.16</v>
      </c>
      <c r="H851" s="4" t="n">
        <f aca="false">IFERROR(IF(AND(VLOOKUP($B851,Ref_Acuerdos!$A:$E,2,FALSE())="FTA",$A851&gt;=VLOOKUP($B851,Ref_Acuerdos!$A:$E,3,FALSE())),1,0),0)</f>
        <v>0</v>
      </c>
      <c r="I851" s="4" t="n">
        <f aca="false">IFERROR(IF(AND(VLOOKUP($B851,Ref_Acuerdos!$A:$E,2,FALSE())="PTA",$A851&gt;=VLOOKUP($B851,Ref_Acuerdos!$A:$E,3,FALSE())),1,0),0)</f>
        <v>1</v>
      </c>
      <c r="J851" s="7" t="n">
        <f aca="false">IFERROR(IF($A851&gt;=VLOOKUP($B851,Ref_Acuerdos!$A:$E,3,FALSE()),VLOOKUP($B851,Ref_Acuerdos!$A:$E,4,FALSE()),""),"")</f>
        <v>0</v>
      </c>
      <c r="K851" s="4" t="str">
        <f aca="false">IFERROR(IF($A851&gt;=VLOOKUP($B851,Ref_Acuerdos!$A:$E,3,FALSE()),VLOOKUP($B851,Ref_Acuerdos!$A:$E,5,FALSE()),"Sin FTA/PTA vigente ese año - arancel NMF"),"Sin FTA/PTA identificado - arancel NMF")</f>
        <v>Comunidad Andina (CAN) - libre comercio intracomunitario</v>
      </c>
    </row>
    <row r="852" customFormat="false" ht="15" hidden="false" customHeight="false" outlineLevel="0" collapsed="false">
      <c r="A852" s="2" t="n">
        <v>2022</v>
      </c>
      <c r="B852" s="2" t="s">
        <v>92</v>
      </c>
      <c r="C852" s="4" t="str">
        <f aca="false">IFERROR(VLOOKUP($B852,Ref_Continente!$A:$B,2,FALSE()),"Sin clasificar")</f>
        <v>Asia</v>
      </c>
      <c r="D852" s="5" t="n">
        <v>163764</v>
      </c>
      <c r="E852" s="6" t="n">
        <v>15642</v>
      </c>
      <c r="F852" s="6" t="n">
        <v>14000</v>
      </c>
      <c r="G852" s="5" t="n">
        <v>235709340659.34</v>
      </c>
      <c r="H852" s="4" t="n">
        <f aca="false">IFERROR(IF(AND(VLOOKUP($B852,Ref_Acuerdos!$A:$E,2,FALSE())="FTA",$A852&gt;=VLOOKUP($B852,Ref_Acuerdos!$A:$E,3,FALSE())),1,0),0)</f>
        <v>0</v>
      </c>
      <c r="I852" s="4" t="n">
        <f aca="false">IFERROR(IF(AND(VLOOKUP($B852,Ref_Acuerdos!$A:$E,2,FALSE())="PTA",$A852&gt;=VLOOKUP($B852,Ref_Acuerdos!$A:$E,3,FALSE())),1,0),0)</f>
        <v>0</v>
      </c>
      <c r="J852" s="7" t="str">
        <f aca="false">IFERROR(IF($A852&gt;=VLOOKUP($B852,Ref_Acuerdos!$A:$E,3,FALSE()),VLOOKUP($B852,Ref_Acuerdos!$A:$E,4,FALSE()),""),"")</f>
        <v/>
      </c>
      <c r="K852" s="4" t="str">
        <f aca="false">IFERROR(IF($A852&gt;=VLOOKUP($B852,Ref_Acuerdos!$A:$E,3,FALSE()),VLOOKUP($B852,Ref_Acuerdos!$A:$E,5,FALSE()),"Sin FTA/PTA vigente ese año - arancel NMF"),"Sin FTA/PTA identificado - arancel NMF")</f>
        <v>Sin FTA/PTA identificado - arancel NMF</v>
      </c>
    </row>
    <row r="853" customFormat="false" ht="15" hidden="false" customHeight="false" outlineLevel="0" collapsed="false">
      <c r="A853" s="2" t="n">
        <v>2022</v>
      </c>
      <c r="B853" s="2" t="s">
        <v>25</v>
      </c>
      <c r="C853" s="4" t="str">
        <f aca="false">IFERROR(VLOOKUP($B853,Ref_Continente!$A:$B,2,FALSE()),"Sin clasificar")</f>
        <v>North America</v>
      </c>
      <c r="D853" s="5" t="n">
        <v>141836</v>
      </c>
      <c r="E853" s="6" t="n">
        <v>15377.5</v>
      </c>
      <c r="F853" s="6" t="n">
        <v>5900</v>
      </c>
      <c r="G853" s="5" t="n">
        <v>2190411080134.32</v>
      </c>
      <c r="H853" s="4" t="n">
        <f aca="false">IFERROR(IF(AND(VLOOKUP($B853,Ref_Acuerdos!$A:$E,2,FALSE())="FTA",$A853&gt;=VLOOKUP($B853,Ref_Acuerdos!$A:$E,3,FALSE())),1,0),0)</f>
        <v>0</v>
      </c>
      <c r="I853" s="4" t="n">
        <f aca="false">IFERROR(IF(AND(VLOOKUP($B853,Ref_Acuerdos!$A:$E,2,FALSE())="PTA",$A853&gt;=VLOOKUP($B853,Ref_Acuerdos!$A:$E,3,FALSE())),1,0),0)</f>
        <v>0</v>
      </c>
      <c r="J853" s="7" t="str">
        <f aca="false">IFERROR(IF($A853&gt;=VLOOKUP($B853,Ref_Acuerdos!$A:$E,3,FALSE()),VLOOKUP($B853,Ref_Acuerdos!$A:$E,4,FALSE()),""),"")</f>
        <v/>
      </c>
      <c r="K853" s="4" t="str">
        <f aca="false">IFERROR(IF($A853&gt;=VLOOKUP($B853,Ref_Acuerdos!$A:$E,3,FALSE()),VLOOKUP($B853,Ref_Acuerdos!$A:$E,5,FALSE()),"Sin FTA/PTA vigente ese año - arancel NMF"),"Sin FTA/PTA identificado - arancel NMF")</f>
        <v>Sin FTA/PTA identificado - arancel NMF</v>
      </c>
    </row>
    <row r="854" customFormat="false" ht="15" hidden="false" customHeight="false" outlineLevel="0" collapsed="false">
      <c r="A854" s="2" t="n">
        <v>2022</v>
      </c>
      <c r="B854" s="2" t="s">
        <v>118</v>
      </c>
      <c r="C854" s="4" t="str">
        <f aca="false">IFERROR(VLOOKUP($B854,Ref_Continente!$A:$B,2,FALSE()),"Sin clasificar")</f>
        <v>South America</v>
      </c>
      <c r="D854" s="5" t="n">
        <v>113261</v>
      </c>
      <c r="E854" s="6" t="n">
        <v>20313</v>
      </c>
      <c r="F854" s="6" t="n">
        <v>4650</v>
      </c>
      <c r="G854" s="5" t="n">
        <v>70594110920.04</v>
      </c>
      <c r="H854" s="4" t="n">
        <f aca="false">IFERROR(IF(AND(VLOOKUP($B854,Ref_Acuerdos!$A:$E,2,FALSE())="FTA",$A854&gt;=VLOOKUP($B854,Ref_Acuerdos!$A:$E,3,FALSE())),1,0),0)</f>
        <v>0</v>
      </c>
      <c r="I854" s="4" t="n">
        <f aca="false">IFERROR(IF(AND(VLOOKUP($B854,Ref_Acuerdos!$A:$E,2,FALSE())="PTA",$A854&gt;=VLOOKUP($B854,Ref_Acuerdos!$A:$E,3,FALSE())),1,0),0)</f>
        <v>1</v>
      </c>
      <c r="J854" s="7" t="n">
        <f aca="false">IFERROR(IF($A854&gt;=VLOOKUP($B854,Ref_Acuerdos!$A:$E,3,FALSE()),VLOOKUP($B854,Ref_Acuerdos!$A:$E,4,FALSE()),""),"")</f>
        <v>5</v>
      </c>
      <c r="K854" s="4" t="str">
        <f aca="false">IFERROR(IF($A854&gt;=VLOOKUP($B854,Ref_Acuerdos!$A:$E,3,FALSE()),VLOOKUP($B854,Ref_Acuerdos!$A:$E,5,FALSE()),"Sin FTA/PTA vigente ese año - arancel NMF"),"Sin FTA/PTA identificado - arancel NMF")</f>
        <v>Ecuador-Mercosur ACE 59 - preferencias parciales (tarifa referencial)</v>
      </c>
    </row>
    <row r="855" customFormat="false" ht="15" hidden="false" customHeight="false" outlineLevel="0" collapsed="false">
      <c r="A855" s="2" t="n">
        <v>2022</v>
      </c>
      <c r="B855" s="2" t="s">
        <v>59</v>
      </c>
      <c r="C855" s="4" t="str">
        <f aca="false">IFERROR(VLOOKUP($B855,Ref_Continente!$A:$B,2,FALSE()),"Sin clasificar")</f>
        <v>Europe</v>
      </c>
      <c r="D855" s="5" t="n">
        <v>110883</v>
      </c>
      <c r="E855" s="6" t="n">
        <v>15815.5</v>
      </c>
      <c r="F855" s="6" t="n">
        <v>10100</v>
      </c>
      <c r="G855" s="5" t="n">
        <v>2104067630319.46</v>
      </c>
      <c r="H855" s="4" t="n">
        <f aca="false">IFERROR(IF(AND(VLOOKUP($B855,Ref_Acuerdos!$A:$E,2,FALSE())="FTA",$A855&gt;=VLOOKUP($B855,Ref_Acuerdos!$A:$E,3,FALSE())),1,0),0)</f>
        <v>1</v>
      </c>
      <c r="I855" s="4" t="n">
        <f aca="false">IFERROR(IF(AND(VLOOKUP($B855,Ref_Acuerdos!$A:$E,2,FALSE())="PTA",$A855&gt;=VLOOKUP($B855,Ref_Acuerdos!$A:$E,3,FALSE())),1,0),0)</f>
        <v>0</v>
      </c>
      <c r="J855" s="7" t="n">
        <f aca="false">IFERROR(IF($A855&gt;=VLOOKUP($B855,Ref_Acuerdos!$A:$E,3,FALSE()),VLOOKUP($B855,Ref_Acuerdos!$A:$E,4,FALSE()),""),"")</f>
        <v>0</v>
      </c>
      <c r="K855" s="4" t="str">
        <f aca="false">IFERROR(IF($A855&gt;=VLOOKUP($B855,Ref_Acuerdos!$A:$E,3,FALSE()),VLOOKUP($B855,Ref_Acuerdos!$A:$E,5,FALSE()),"Sin FTA/PTA vigente ese año - arancel NMF"),"Sin FTA/PTA identificado - arancel NMF")</f>
        <v>UE-Ecuador Acuerdo Multipartes, vigente desde ene-2017</v>
      </c>
    </row>
    <row r="856" customFormat="false" ht="15" hidden="false" customHeight="false" outlineLevel="0" collapsed="false">
      <c r="A856" s="2" t="n">
        <v>2022</v>
      </c>
      <c r="B856" s="2" t="s">
        <v>95</v>
      </c>
      <c r="C856" s="4" t="str">
        <f aca="false">IFERROR(VLOOKUP($B856,Ref_Continente!$A:$B,2,FALSE()),"Sin clasificar")</f>
        <v>Europe</v>
      </c>
      <c r="D856" s="5" t="n">
        <v>93847</v>
      </c>
      <c r="E856" s="6" t="n">
        <v>19793.3</v>
      </c>
      <c r="F856" s="6" t="n">
        <v>11300</v>
      </c>
      <c r="G856" s="5" t="n">
        <v>295319437556.99</v>
      </c>
      <c r="H856" s="4" t="n">
        <f aca="false">IFERROR(IF(AND(VLOOKUP($B856,Ref_Acuerdos!$A:$E,2,FALSE())="FTA",$A856&gt;=VLOOKUP($B856,Ref_Acuerdos!$A:$E,3,FALSE())),1,0),0)</f>
        <v>1</v>
      </c>
      <c r="I856" s="4" t="n">
        <f aca="false">IFERROR(IF(AND(VLOOKUP($B856,Ref_Acuerdos!$A:$E,2,FALSE())="PTA",$A856&gt;=VLOOKUP($B856,Ref_Acuerdos!$A:$E,3,FALSE())),1,0),0)</f>
        <v>0</v>
      </c>
      <c r="J856" s="7" t="n">
        <f aca="false">IFERROR(IF($A856&gt;=VLOOKUP($B856,Ref_Acuerdos!$A:$E,3,FALSE()),VLOOKUP($B856,Ref_Acuerdos!$A:$E,4,FALSE()),""),"")</f>
        <v>0</v>
      </c>
      <c r="K856" s="4" t="str">
        <f aca="false">IFERROR(IF($A856&gt;=VLOOKUP($B856,Ref_Acuerdos!$A:$E,3,FALSE()),VLOOKUP($B856,Ref_Acuerdos!$A:$E,5,FALSE()),"Sin FTA/PTA vigente ese año - arancel NMF"),"Sin FTA/PTA identificado - arancel NMF")</f>
        <v>UE-Ecuador Acuerdo Multipartes, vigente desde ene-2017</v>
      </c>
    </row>
    <row r="857" customFormat="false" ht="15" hidden="false" customHeight="false" outlineLevel="0" collapsed="false">
      <c r="A857" s="2" t="n">
        <v>2022</v>
      </c>
      <c r="B857" s="2" t="s">
        <v>87</v>
      </c>
      <c r="C857" s="4" t="str">
        <f aca="false">IFERROR(VLOOKUP($B857,Ref_Continente!$A:$B,2,FALSE()),"Sin clasificar")</f>
        <v>South America</v>
      </c>
      <c r="D857" s="5" t="n">
        <v>77039</v>
      </c>
      <c r="E857" s="6" t="n">
        <v>15401.1</v>
      </c>
      <c r="F857" s="6" t="n">
        <v>3600</v>
      </c>
      <c r="G857" s="5" t="n">
        <v>41952910858.08</v>
      </c>
      <c r="H857" s="4" t="n">
        <f aca="false">IFERROR(IF(AND(VLOOKUP($B857,Ref_Acuerdos!$A:$E,2,FALSE())="FTA",$A857&gt;=VLOOKUP($B857,Ref_Acuerdos!$A:$E,3,FALSE())),1,0),0)</f>
        <v>0</v>
      </c>
      <c r="I857" s="4" t="n">
        <f aca="false">IFERROR(IF(AND(VLOOKUP($B857,Ref_Acuerdos!$A:$E,2,FALSE())="PTA",$A857&gt;=VLOOKUP($B857,Ref_Acuerdos!$A:$E,3,FALSE())),1,0),0)</f>
        <v>1</v>
      </c>
      <c r="J857" s="7" t="n">
        <f aca="false">IFERROR(IF($A857&gt;=VLOOKUP($B857,Ref_Acuerdos!$A:$E,3,FALSE()),VLOOKUP($B857,Ref_Acuerdos!$A:$E,4,FALSE()),""),"")</f>
        <v>5</v>
      </c>
      <c r="K857" s="4" t="str">
        <f aca="false">IFERROR(IF($A857&gt;=VLOOKUP($B857,Ref_Acuerdos!$A:$E,3,FALSE()),VLOOKUP($B857,Ref_Acuerdos!$A:$E,5,FALSE()),"Sin FTA/PTA vigente ese año - arancel NMF"),"Sin FTA/PTA identificado - arancel NMF")</f>
        <v>Ecuador-Mercosur ACE 59 - preferencias parciales (tarifa referencial)</v>
      </c>
    </row>
    <row r="858" customFormat="false" ht="15" hidden="false" customHeight="false" outlineLevel="0" collapsed="false">
      <c r="A858" s="2" t="n">
        <v>2022</v>
      </c>
      <c r="B858" s="2" t="s">
        <v>64</v>
      </c>
      <c r="C858" s="4" t="str">
        <f aca="false">IFERROR(VLOOKUP($B858,Ref_Continente!$A:$B,2,FALSE()),"Sin clasificar")</f>
        <v>Asia</v>
      </c>
      <c r="D858" s="5" t="n">
        <v>60896</v>
      </c>
      <c r="E858" s="6" t="n">
        <v>6801.9</v>
      </c>
      <c r="F858" s="6" t="n">
        <v>13500</v>
      </c>
      <c r="G858" s="5" t="n">
        <v>183502046693.88</v>
      </c>
      <c r="H858" s="4" t="n">
        <f aca="false">IFERROR(IF(AND(VLOOKUP($B858,Ref_Acuerdos!$A:$E,2,FALSE())="FTA",$A858&gt;=VLOOKUP($B858,Ref_Acuerdos!$A:$E,3,FALSE())),1,0),0)</f>
        <v>0</v>
      </c>
      <c r="I858" s="4" t="n">
        <f aca="false">IFERROR(IF(AND(VLOOKUP($B858,Ref_Acuerdos!$A:$E,2,FALSE())="PTA",$A858&gt;=VLOOKUP($B858,Ref_Acuerdos!$A:$E,3,FALSE())),1,0),0)</f>
        <v>0</v>
      </c>
      <c r="J858" s="7" t="str">
        <f aca="false">IFERROR(IF($A858&gt;=VLOOKUP($B858,Ref_Acuerdos!$A:$E,3,FALSE()),VLOOKUP($B858,Ref_Acuerdos!$A:$E,4,FALSE()),""),"")</f>
        <v/>
      </c>
      <c r="K858" s="4" t="str">
        <f aca="false">IFERROR(IF($A858&gt;=VLOOKUP($B858,Ref_Acuerdos!$A:$E,3,FALSE()),VLOOKUP($B858,Ref_Acuerdos!$A:$E,5,FALSE()),"Sin FTA/PTA vigente ese año - arancel NMF"),"Sin FTA/PTA identificado - arancel NMF")</f>
        <v>Sin FTA/PTA identificado - arancel NMF</v>
      </c>
    </row>
    <row r="859" customFormat="false" ht="15" hidden="false" customHeight="false" outlineLevel="0" collapsed="false">
      <c r="A859" s="2" t="n">
        <v>2022</v>
      </c>
      <c r="B859" s="2" t="s">
        <v>80</v>
      </c>
      <c r="C859" s="4" t="str">
        <f aca="false">IFERROR(VLOOKUP($B859,Ref_Continente!$A:$B,2,FALSE()),"Sin clasificar")</f>
        <v>North America</v>
      </c>
      <c r="D859" s="5" t="n">
        <v>59293</v>
      </c>
      <c r="E859" s="6" t="n">
        <v>12832.5</v>
      </c>
      <c r="F859" s="6" t="n">
        <v>1730</v>
      </c>
      <c r="G859" s="5" t="n">
        <v>15634572502.23</v>
      </c>
      <c r="H859" s="4" t="n">
        <f aca="false">IFERROR(IF(AND(VLOOKUP($B859,Ref_Acuerdos!$A:$E,2,FALSE())="FTA",$A859&gt;=VLOOKUP($B859,Ref_Acuerdos!$A:$E,3,FALSE())),1,0),0)</f>
        <v>0</v>
      </c>
      <c r="I859" s="4" t="n">
        <f aca="false">IFERROR(IF(AND(VLOOKUP($B859,Ref_Acuerdos!$A:$E,2,FALSE())="PTA",$A859&gt;=VLOOKUP($B859,Ref_Acuerdos!$A:$E,3,FALSE())),1,0),0)</f>
        <v>1</v>
      </c>
      <c r="J859" s="7" t="n">
        <f aca="false">IFERROR(IF($A859&gt;=VLOOKUP($B859,Ref_Acuerdos!$A:$E,3,FALSE()),VLOOKUP($B859,Ref_Acuerdos!$A:$E,4,FALSE()),""),"")</f>
        <v>10</v>
      </c>
      <c r="K859" s="4" t="str">
        <f aca="false">IFERROR(IF($A859&gt;=VLOOKUP($B859,Ref_Acuerdos!$A:$E,3,FALSE()),VLOOKUP($B859,Ref_Acuerdos!$A:$E,5,FALSE()),"Sin FTA/PTA vigente ese año - arancel NMF"),"Sin FTA/PTA identificado - arancel NMF")</f>
        <v>ALADI - Acuerdo de Alcance Parcial (preferencia limitada, tarifa referencial)</v>
      </c>
    </row>
    <row r="860" customFormat="false" ht="15" hidden="false" customHeight="false" outlineLevel="0" collapsed="false">
      <c r="A860" s="2" t="n">
        <v>2022</v>
      </c>
      <c r="B860" s="2" t="s">
        <v>68</v>
      </c>
      <c r="C860" s="4" t="str">
        <f aca="false">IFERROR(VLOOKUP($B860,Ref_Continente!$A:$B,2,FALSE()),"Sin clasificar")</f>
        <v>Europe</v>
      </c>
      <c r="D860" s="5" t="n">
        <v>46162</v>
      </c>
      <c r="E860" s="6" t="n">
        <v>7860.1</v>
      </c>
      <c r="F860" s="6" t="n">
        <v>10250</v>
      </c>
      <c r="G860" s="5" t="n">
        <v>71033884499.78</v>
      </c>
      <c r="H860" s="4" t="n">
        <f aca="false">IFERROR(IF(AND(VLOOKUP($B860,Ref_Acuerdos!$A:$E,2,FALSE())="FTA",$A860&gt;=VLOOKUP($B860,Ref_Acuerdos!$A:$E,3,FALSE())),1,0),0)</f>
        <v>1</v>
      </c>
      <c r="I860" s="4" t="n">
        <f aca="false">IFERROR(IF(AND(VLOOKUP($B860,Ref_Acuerdos!$A:$E,2,FALSE())="PTA",$A860&gt;=VLOOKUP($B860,Ref_Acuerdos!$A:$E,3,FALSE())),1,0),0)</f>
        <v>0</v>
      </c>
      <c r="J860" s="7" t="n">
        <f aca="false">IFERROR(IF($A860&gt;=VLOOKUP($B860,Ref_Acuerdos!$A:$E,3,FALSE()),VLOOKUP($B860,Ref_Acuerdos!$A:$E,4,FALSE()),""),"")</f>
        <v>0</v>
      </c>
      <c r="K860" s="4" t="str">
        <f aca="false">IFERROR(IF($A860&gt;=VLOOKUP($B860,Ref_Acuerdos!$A:$E,3,FALSE()),VLOOKUP($B860,Ref_Acuerdos!$A:$E,5,FALSE()),"Sin FTA/PTA vigente ese año - arancel NMF"),"Sin FTA/PTA identificado - arancel NMF")</f>
        <v>UE-Ecuador Acuerdo Multipartes, vigente desde ene-2017</v>
      </c>
    </row>
    <row r="861" customFormat="false" ht="15" hidden="false" customHeight="false" outlineLevel="0" collapsed="false">
      <c r="A861" s="2" t="n">
        <v>2022</v>
      </c>
      <c r="B861" s="2" t="s">
        <v>94</v>
      </c>
      <c r="C861" s="4" t="str">
        <f aca="false">IFERROR(VLOOKUP($B861,Ref_Continente!$A:$B,2,FALSE()),"Sin clasificar")</f>
        <v>Europe</v>
      </c>
      <c r="D861" s="5" t="n">
        <v>42709</v>
      </c>
      <c r="E861" s="6" t="n">
        <v>9602.7</v>
      </c>
      <c r="F861" s="6" t="n">
        <v>11000</v>
      </c>
      <c r="G861" s="5" t="n">
        <v>14525337523.73</v>
      </c>
      <c r="H861" s="4" t="n">
        <f aca="false">IFERROR(IF(AND(VLOOKUP($B861,Ref_Acuerdos!$A:$E,2,FALSE())="FTA",$A861&gt;=VLOOKUP($B861,Ref_Acuerdos!$A:$E,3,FALSE())),1,0),0)</f>
        <v>0</v>
      </c>
      <c r="I861" s="4" t="n">
        <f aca="false">IFERROR(IF(AND(VLOOKUP($B861,Ref_Acuerdos!$A:$E,2,FALSE())="PTA",$A861&gt;=VLOOKUP($B861,Ref_Acuerdos!$A:$E,3,FALSE())),1,0),0)</f>
        <v>0</v>
      </c>
      <c r="J861" s="7" t="str">
        <f aca="false">IFERROR(IF($A861&gt;=VLOOKUP($B861,Ref_Acuerdos!$A:$E,3,FALSE()),VLOOKUP($B861,Ref_Acuerdos!$A:$E,4,FALSE()),""),"")</f>
        <v/>
      </c>
      <c r="K861" s="4" t="str">
        <f aca="false">IFERROR(IF($A861&gt;=VLOOKUP($B861,Ref_Acuerdos!$A:$E,3,FALSE()),VLOOKUP($B861,Ref_Acuerdos!$A:$E,5,FALSE()),"Sin FTA/PTA vigente ese año - arancel NMF"),"Sin FTA/PTA identificado - arancel NMF")</f>
        <v>Sin FTA/PTA identificado - arancel NMF</v>
      </c>
    </row>
    <row r="862" customFormat="false" ht="15" hidden="false" customHeight="false" outlineLevel="0" collapsed="false">
      <c r="A862" s="2" t="n">
        <v>2022</v>
      </c>
      <c r="B862" s="2" t="s">
        <v>44</v>
      </c>
      <c r="C862" s="4" t="str">
        <f aca="false">IFERROR(VLOOKUP($B862,Ref_Continente!$A:$B,2,FALSE()),"Sin clasificar")</f>
        <v>Asia</v>
      </c>
      <c r="D862" s="5" t="n">
        <v>41555</v>
      </c>
      <c r="E862" s="6" t="n">
        <v>8800.9</v>
      </c>
      <c r="F862" s="6" t="n">
        <v>11600</v>
      </c>
      <c r="G862" s="5" t="n">
        <v>24984568959.61</v>
      </c>
      <c r="H862" s="4" t="n">
        <f aca="false">IFERROR(IF(AND(VLOOKUP($B862,Ref_Acuerdos!$A:$E,2,FALSE())="FTA",$A862&gt;=VLOOKUP($B862,Ref_Acuerdos!$A:$E,3,FALSE())),1,0),0)</f>
        <v>0</v>
      </c>
      <c r="I862" s="4" t="n">
        <f aca="false">IFERROR(IF(AND(VLOOKUP($B862,Ref_Acuerdos!$A:$E,2,FALSE())="PTA",$A862&gt;=VLOOKUP($B862,Ref_Acuerdos!$A:$E,3,FALSE())),1,0),0)</f>
        <v>0</v>
      </c>
      <c r="J862" s="7" t="str">
        <f aca="false">IFERROR(IF($A862&gt;=VLOOKUP($B862,Ref_Acuerdos!$A:$E,3,FALSE()),VLOOKUP($B862,Ref_Acuerdos!$A:$E,4,FALSE()),""),"")</f>
        <v/>
      </c>
      <c r="K862" s="4" t="str">
        <f aca="false">IFERROR(IF($A862&gt;=VLOOKUP($B862,Ref_Acuerdos!$A:$E,3,FALSE()),VLOOKUP($B862,Ref_Acuerdos!$A:$E,5,FALSE()),"Sin FTA/PTA vigente ese año - arancel NMF"),"Sin FTA/PTA identificado - arancel NMF")</f>
        <v>Sin FTA/PTA identificado - arancel NMF</v>
      </c>
    </row>
    <row r="863" customFormat="false" ht="15" hidden="false" customHeight="false" outlineLevel="0" collapsed="false">
      <c r="A863" s="2" t="n">
        <v>2022</v>
      </c>
      <c r="B863" s="2" t="s">
        <v>45</v>
      </c>
      <c r="C863" s="4" t="str">
        <f aca="false">IFERROR(VLOOKUP($B863,Ref_Continente!$A:$B,2,FALSE()),"Sin clasificar")</f>
        <v>Europe</v>
      </c>
      <c r="D863" s="5" t="n">
        <v>40892</v>
      </c>
      <c r="E863" s="6" t="n">
        <v>6707.2</v>
      </c>
      <c r="F863" s="6" t="n">
        <v>9650</v>
      </c>
      <c r="G863" s="5" t="n">
        <v>4201021706478.62</v>
      </c>
      <c r="H863" s="4" t="n">
        <f aca="false">IFERROR(IF(AND(VLOOKUP($B863,Ref_Acuerdos!$A:$E,2,FALSE())="FTA",$A863&gt;=VLOOKUP($B863,Ref_Acuerdos!$A:$E,3,FALSE())),1,0),0)</f>
        <v>1</v>
      </c>
      <c r="I863" s="4" t="n">
        <f aca="false">IFERROR(IF(AND(VLOOKUP($B863,Ref_Acuerdos!$A:$E,2,FALSE())="PTA",$A863&gt;=VLOOKUP($B863,Ref_Acuerdos!$A:$E,3,FALSE())),1,0),0)</f>
        <v>0</v>
      </c>
      <c r="J863" s="7" t="n">
        <f aca="false">IFERROR(IF($A863&gt;=VLOOKUP($B863,Ref_Acuerdos!$A:$E,3,FALSE()),VLOOKUP($B863,Ref_Acuerdos!$A:$E,4,FALSE()),""),"")</f>
        <v>0</v>
      </c>
      <c r="K863" s="4" t="str">
        <f aca="false">IFERROR(IF($A863&gt;=VLOOKUP($B863,Ref_Acuerdos!$A:$E,3,FALSE()),VLOOKUP($B863,Ref_Acuerdos!$A:$E,5,FALSE()),"Sin FTA/PTA vigente ese año - arancel NMF"),"Sin FTA/PTA identificado - arancel NMF")</f>
        <v>UE-Ecuador Acuerdo Multipartes, vigente desde ene-2017</v>
      </c>
    </row>
    <row r="864" customFormat="false" ht="15" hidden="false" customHeight="false" outlineLevel="0" collapsed="false">
      <c r="A864" s="2" t="n">
        <v>2022</v>
      </c>
      <c r="B864" s="2" t="s">
        <v>54</v>
      </c>
      <c r="C864" s="4" t="str">
        <f aca="false">IFERROR(VLOOKUP($B864,Ref_Continente!$A:$B,2,FALSE()),"Sin clasificar")</f>
        <v>Asia</v>
      </c>
      <c r="D864" s="5" t="n">
        <v>40485</v>
      </c>
      <c r="E864" s="6" t="n">
        <v>5779.4</v>
      </c>
      <c r="F864" s="6" t="n">
        <v>19300</v>
      </c>
      <c r="G864" s="5" t="n">
        <v>1319101183380.15</v>
      </c>
      <c r="H864" s="4" t="n">
        <f aca="false">IFERROR(IF(AND(VLOOKUP($B864,Ref_Acuerdos!$A:$E,2,FALSE())="FTA",$A864&gt;=VLOOKUP($B864,Ref_Acuerdos!$A:$E,3,FALSE())),1,0),0)</f>
        <v>0</v>
      </c>
      <c r="I864" s="4" t="n">
        <f aca="false">IFERROR(IF(AND(VLOOKUP($B864,Ref_Acuerdos!$A:$E,2,FALSE())="PTA",$A864&gt;=VLOOKUP($B864,Ref_Acuerdos!$A:$E,3,FALSE())),1,0),0)</f>
        <v>0</v>
      </c>
      <c r="J864" s="7" t="str">
        <f aca="false">IFERROR(IF($A864&gt;=VLOOKUP($B864,Ref_Acuerdos!$A:$E,3,FALSE()),VLOOKUP($B864,Ref_Acuerdos!$A:$E,4,FALSE()),""),"")</f>
        <v/>
      </c>
      <c r="K864" s="4" t="str">
        <f aca="false">IFERROR(IF($A864&gt;=VLOOKUP($B864,Ref_Acuerdos!$A:$E,3,FALSE()),VLOOKUP($B864,Ref_Acuerdos!$A:$E,5,FALSE()),"Sin FTA/PTA vigente ese año - arancel NMF"),"Sin FTA/PTA identificado - arancel NMF")</f>
        <v>Sin FTA/PTA identificado - arancel NMF</v>
      </c>
    </row>
    <row r="865" customFormat="false" ht="15" hidden="false" customHeight="false" outlineLevel="0" collapsed="false">
      <c r="A865" s="2" t="n">
        <v>2022</v>
      </c>
      <c r="B865" s="2" t="s">
        <v>52</v>
      </c>
      <c r="C865" s="4" t="str">
        <f aca="false">IFERROR(VLOOKUP($B865,Ref_Continente!$A:$B,2,FALSE()),"Sin clasificar")</f>
        <v>Europe</v>
      </c>
      <c r="D865" s="5" t="n">
        <v>37812</v>
      </c>
      <c r="E865" s="6" t="n">
        <v>7116</v>
      </c>
      <c r="F865" s="6" t="n">
        <v>10350</v>
      </c>
      <c r="G865" s="5" t="n">
        <v>177002580544.16</v>
      </c>
      <c r="H865" s="4" t="n">
        <f aca="false">IFERROR(IF(AND(VLOOKUP($B865,Ref_Acuerdos!$A:$E,2,FALSE())="FTA",$A865&gt;=VLOOKUP($B865,Ref_Acuerdos!$A:$E,3,FALSE())),1,0),0)</f>
        <v>1</v>
      </c>
      <c r="I865" s="4" t="n">
        <f aca="false">IFERROR(IF(AND(VLOOKUP($B865,Ref_Acuerdos!$A:$E,2,FALSE())="PTA",$A865&gt;=VLOOKUP($B865,Ref_Acuerdos!$A:$E,3,FALSE())),1,0),0)</f>
        <v>0</v>
      </c>
      <c r="J865" s="7" t="n">
        <f aca="false">IFERROR(IF($A865&gt;=VLOOKUP($B865,Ref_Acuerdos!$A:$E,3,FALSE()),VLOOKUP($B865,Ref_Acuerdos!$A:$E,4,FALSE()),""),"")</f>
        <v>0</v>
      </c>
      <c r="K865" s="4" t="str">
        <f aca="false">IFERROR(IF($A865&gt;=VLOOKUP($B865,Ref_Acuerdos!$A:$E,3,FALSE()),VLOOKUP($B865,Ref_Acuerdos!$A:$E,5,FALSE()),"Sin FTA/PTA vigente ese año - arancel NMF"),"Sin FTA/PTA identificado - arancel NMF")</f>
        <v>UE-Ecuador Acuerdo Multipartes, vigente desde ene-2017</v>
      </c>
    </row>
    <row r="866" customFormat="false" ht="15" hidden="false" customHeight="false" outlineLevel="0" collapsed="false">
      <c r="A866" s="2" t="n">
        <v>2022</v>
      </c>
      <c r="B866" s="2" t="s">
        <v>39</v>
      </c>
      <c r="C866" s="4" t="str">
        <f aca="false">IFERROR(VLOOKUP($B866,Ref_Continente!$A:$B,2,FALSE()),"Sin clasificar")</f>
        <v>North America</v>
      </c>
      <c r="D866" s="5" t="n">
        <v>32360</v>
      </c>
      <c r="E866" s="6" t="n">
        <v>6887.9</v>
      </c>
      <c r="F866" s="6" t="n">
        <v>2000</v>
      </c>
      <c r="G866" s="5" t="n">
        <v>31870120000</v>
      </c>
      <c r="H866" s="4" t="n">
        <f aca="false">IFERROR(IF(AND(VLOOKUP($B866,Ref_Acuerdos!$A:$E,2,FALSE())="FTA",$A866&gt;=VLOOKUP($B866,Ref_Acuerdos!$A:$E,3,FALSE())),1,0),0)</f>
        <v>0</v>
      </c>
      <c r="I866" s="4" t="n">
        <f aca="false">IFERROR(IF(AND(VLOOKUP($B866,Ref_Acuerdos!$A:$E,2,FALSE())="PTA",$A866&gt;=VLOOKUP($B866,Ref_Acuerdos!$A:$E,3,FALSE())),1,0),0)</f>
        <v>0</v>
      </c>
      <c r="J866" s="7" t="str">
        <f aca="false">IFERROR(IF($A866&gt;=VLOOKUP($B866,Ref_Acuerdos!$A:$E,3,FALSE()),VLOOKUP($B866,Ref_Acuerdos!$A:$E,4,FALSE()),""),"")</f>
        <v/>
      </c>
      <c r="K866" s="4" t="str">
        <f aca="false">IFERROR(IF($A866&gt;=VLOOKUP($B866,Ref_Acuerdos!$A:$E,3,FALSE()),VLOOKUP($B866,Ref_Acuerdos!$A:$E,5,FALSE()),"Sin FTA/PTA vigente ese año - arancel NMF"),"Sin FTA/PTA identificado - arancel NMF")</f>
        <v>Sin FTA/PTA identificado - arancel NMF</v>
      </c>
    </row>
    <row r="867" customFormat="false" ht="15" hidden="false" customHeight="false" outlineLevel="0" collapsed="false">
      <c r="A867" s="2" t="n">
        <v>2022</v>
      </c>
      <c r="B867" s="2" t="s">
        <v>111</v>
      </c>
      <c r="C867" s="4" t="str">
        <f aca="false">IFERROR(VLOOKUP($B867,Ref_Continente!$A:$B,2,FALSE()),"Sin clasificar")</f>
        <v>North America</v>
      </c>
      <c r="D867" s="5" t="n">
        <v>31056</v>
      </c>
      <c r="E867" s="6" t="n">
        <v>4900.2</v>
      </c>
      <c r="F867" s="6" t="n">
        <v>2530</v>
      </c>
      <c r="G867" s="5" t="n">
        <v>28341164301.13</v>
      </c>
      <c r="H867" s="4" t="n">
        <f aca="false">IFERROR(IF(AND(VLOOKUP($B867,Ref_Acuerdos!$A:$E,2,FALSE())="FTA",$A867&gt;=VLOOKUP($B867,Ref_Acuerdos!$A:$E,3,FALSE())),1,0),0)</f>
        <v>0</v>
      </c>
      <c r="I867" s="4" t="n">
        <f aca="false">IFERROR(IF(AND(VLOOKUP($B867,Ref_Acuerdos!$A:$E,2,FALSE())="PTA",$A867&gt;=VLOOKUP($B867,Ref_Acuerdos!$A:$E,3,FALSE())),1,0),0)</f>
        <v>0</v>
      </c>
      <c r="J867" s="7" t="str">
        <f aca="false">IFERROR(IF($A867&gt;=VLOOKUP($B867,Ref_Acuerdos!$A:$E,3,FALSE()),VLOOKUP($B867,Ref_Acuerdos!$A:$E,4,FALSE()),""),"")</f>
        <v/>
      </c>
      <c r="K867" s="4" t="str">
        <f aca="false">IFERROR(IF($A867&gt;=VLOOKUP($B867,Ref_Acuerdos!$A:$E,3,FALSE()),VLOOKUP($B867,Ref_Acuerdos!$A:$E,5,FALSE()),"Sin FTA/PTA vigente ese año - arancel NMF"),"Sin FTA/PTA identificado - arancel NMF")</f>
        <v>Sin FTA/PTA identificado - arancel NMF</v>
      </c>
    </row>
    <row r="868" customFormat="false" ht="15" hidden="false" customHeight="false" outlineLevel="0" collapsed="false">
      <c r="A868" s="2" t="n">
        <v>2022</v>
      </c>
      <c r="B868" s="2" t="s">
        <v>29</v>
      </c>
      <c r="C868" s="4" t="str">
        <f aca="false">IFERROR(VLOOKUP($B868,Ref_Continente!$A:$B,2,FALSE()),"Sin clasificar")</f>
        <v>South America</v>
      </c>
      <c r="D868" s="5" t="n">
        <v>28660</v>
      </c>
      <c r="E868" s="6" t="n">
        <v>3506.7</v>
      </c>
      <c r="F868" s="6" t="n">
        <v>720</v>
      </c>
      <c r="G868" s="5" t="n">
        <v>345632492851.45</v>
      </c>
      <c r="H868" s="4" t="n">
        <f aca="false">IFERROR(IF(AND(VLOOKUP($B868,Ref_Acuerdos!$A:$E,2,FALSE())="FTA",$A868&gt;=VLOOKUP($B868,Ref_Acuerdos!$A:$E,3,FALSE())),1,0),0)</f>
        <v>0</v>
      </c>
      <c r="I868" s="4" t="n">
        <f aca="false">IFERROR(IF(AND(VLOOKUP($B868,Ref_Acuerdos!$A:$E,2,FALSE())="PTA",$A868&gt;=VLOOKUP($B868,Ref_Acuerdos!$A:$E,3,FALSE())),1,0),0)</f>
        <v>1</v>
      </c>
      <c r="J868" s="7" t="n">
        <f aca="false">IFERROR(IF($A868&gt;=VLOOKUP($B868,Ref_Acuerdos!$A:$E,3,FALSE()),VLOOKUP($B868,Ref_Acuerdos!$A:$E,4,FALSE()),""),"")</f>
        <v>0</v>
      </c>
      <c r="K868" s="4" t="str">
        <f aca="false">IFERROR(IF($A868&gt;=VLOOKUP($B868,Ref_Acuerdos!$A:$E,3,FALSE()),VLOOKUP($B868,Ref_Acuerdos!$A:$E,5,FALSE()),"Sin FTA/PTA vigente ese año - arancel NMF"),"Sin FTA/PTA identificado - arancel NMF")</f>
        <v>Comunidad Andina (CAN) - libre comercio intracomunitario</v>
      </c>
    </row>
    <row r="869" customFormat="false" ht="15" hidden="false" customHeight="false" outlineLevel="0" collapsed="false">
      <c r="A869" s="2" t="n">
        <v>2022</v>
      </c>
      <c r="B869" s="2" t="s">
        <v>8</v>
      </c>
      <c r="C869" s="4" t="str">
        <f aca="false">IFERROR(VLOOKUP($B869,Ref_Continente!$A:$B,2,FALSE()),"Sin clasificar")</f>
        <v>Asia</v>
      </c>
      <c r="D869" s="5" t="n">
        <v>27185</v>
      </c>
      <c r="E869" s="6" t="n">
        <v>5003.6</v>
      </c>
      <c r="F869" s="6" t="n">
        <v>11600</v>
      </c>
      <c r="G869" s="5" t="n">
        <v>19513506553.13</v>
      </c>
      <c r="H869" s="4" t="n">
        <f aca="false">IFERROR(IF(AND(VLOOKUP($B869,Ref_Acuerdos!$A:$E,2,FALSE())="FTA",$A869&gt;=VLOOKUP($B869,Ref_Acuerdos!$A:$E,3,FALSE())),1,0),0)</f>
        <v>0</v>
      </c>
      <c r="I869" s="4" t="n">
        <f aca="false">IFERROR(IF(AND(VLOOKUP($B869,Ref_Acuerdos!$A:$E,2,FALSE())="PTA",$A869&gt;=VLOOKUP($B869,Ref_Acuerdos!$A:$E,3,FALSE())),1,0),0)</f>
        <v>0</v>
      </c>
      <c r="J869" s="7" t="str">
        <f aca="false">IFERROR(IF($A869&gt;=VLOOKUP($B869,Ref_Acuerdos!$A:$E,3,FALSE()),VLOOKUP($B869,Ref_Acuerdos!$A:$E,4,FALSE()),""),"")</f>
        <v/>
      </c>
      <c r="K869" s="4" t="str">
        <f aca="false">IFERROR(IF($A869&gt;=VLOOKUP($B869,Ref_Acuerdos!$A:$E,3,FALSE()),VLOOKUP($B869,Ref_Acuerdos!$A:$E,5,FALSE()),"Sin FTA/PTA vigente ese año - arancel NMF"),"Sin FTA/PTA identificado - arancel NMF")</f>
        <v>Sin FTA/PTA identificado - arancel NMF</v>
      </c>
    </row>
    <row r="870" customFormat="false" ht="15" hidden="false" customHeight="false" outlineLevel="0" collapsed="false">
      <c r="A870" s="2" t="n">
        <v>2022</v>
      </c>
      <c r="B870" s="2" t="s">
        <v>72</v>
      </c>
      <c r="C870" s="4" t="str">
        <f aca="false">IFERROR(VLOOKUP($B870,Ref_Continente!$A:$B,2,FALSE()),"Sin clasificar")</f>
        <v>Europe</v>
      </c>
      <c r="D870" s="5" t="n">
        <v>24304</v>
      </c>
      <c r="E870" s="6" t="n">
        <v>5387.5</v>
      </c>
      <c r="F870" s="6" t="n">
        <v>10200</v>
      </c>
      <c r="G870" s="5" t="n">
        <v>18928276162.41</v>
      </c>
      <c r="H870" s="4" t="n">
        <f aca="false">IFERROR(IF(AND(VLOOKUP($B870,Ref_Acuerdos!$A:$E,2,FALSE())="FTA",$A870&gt;=VLOOKUP($B870,Ref_Acuerdos!$A:$E,3,FALSE())),1,0),0)</f>
        <v>1</v>
      </c>
      <c r="I870" s="4" t="n">
        <f aca="false">IFERROR(IF(AND(VLOOKUP($B870,Ref_Acuerdos!$A:$E,2,FALSE())="PTA",$A870&gt;=VLOOKUP($B870,Ref_Acuerdos!$A:$E,3,FALSE())),1,0),0)</f>
        <v>0</v>
      </c>
      <c r="J870" s="7" t="n">
        <f aca="false">IFERROR(IF($A870&gt;=VLOOKUP($B870,Ref_Acuerdos!$A:$E,3,FALSE()),VLOOKUP($B870,Ref_Acuerdos!$A:$E,4,FALSE()),""),"")</f>
        <v>0</v>
      </c>
      <c r="K870" s="4" t="str">
        <f aca="false">IFERROR(IF($A870&gt;=VLOOKUP($B870,Ref_Acuerdos!$A:$E,3,FALSE()),VLOOKUP($B870,Ref_Acuerdos!$A:$E,5,FALSE()),"Sin FTA/PTA vigente ese año - arancel NMF"),"Sin FTA/PTA identificado - arancel NMF")</f>
        <v>UE-Ecuador Acuerdo Multipartes, vigente desde ene-2017</v>
      </c>
    </row>
    <row r="871" customFormat="false" ht="15" hidden="false" customHeight="false" outlineLevel="0" collapsed="false">
      <c r="A871" s="2" t="n">
        <v>2022</v>
      </c>
      <c r="B871" s="2" t="s">
        <v>60</v>
      </c>
      <c r="C871" s="4" t="str">
        <f aca="false">IFERROR(VLOOKUP($B871,Ref_Continente!$A:$B,2,FALSE()),"Sin clasificar")</f>
        <v>North America</v>
      </c>
      <c r="D871" s="5" t="n">
        <v>21338</v>
      </c>
      <c r="E871" s="6" t="n">
        <v>4764.3</v>
      </c>
      <c r="F871" s="6" t="n">
        <v>1900</v>
      </c>
      <c r="G871" s="5" t="n">
        <v>18813516805.21</v>
      </c>
      <c r="H871" s="4" t="n">
        <f aca="false">IFERROR(IF(AND(VLOOKUP($B871,Ref_Acuerdos!$A:$E,2,FALSE())="FTA",$A871&gt;=VLOOKUP($B871,Ref_Acuerdos!$A:$E,3,FALSE())),1,0),0)</f>
        <v>0</v>
      </c>
      <c r="I871" s="4" t="n">
        <f aca="false">IFERROR(IF(AND(VLOOKUP($B871,Ref_Acuerdos!$A:$E,2,FALSE())="PTA",$A871&gt;=VLOOKUP($B871,Ref_Acuerdos!$A:$E,3,FALSE())),1,0),0)</f>
        <v>0</v>
      </c>
      <c r="J871" s="7" t="str">
        <f aca="false">IFERROR(IF($A871&gt;=VLOOKUP($B871,Ref_Acuerdos!$A:$E,3,FALSE()),VLOOKUP($B871,Ref_Acuerdos!$A:$E,4,FALSE()),""),"")</f>
        <v/>
      </c>
      <c r="K871" s="4" t="str">
        <f aca="false">IFERROR(IF($A871&gt;=VLOOKUP($B871,Ref_Acuerdos!$A:$E,3,FALSE()),VLOOKUP($B871,Ref_Acuerdos!$A:$E,5,FALSE()),"Sin FTA/PTA vigente ese año - arancel NMF"),"Sin FTA/PTA identificado - arancel NMF")</f>
        <v>Sin FTA/PTA identificado - arancel NMF</v>
      </c>
    </row>
    <row r="872" customFormat="false" ht="15" hidden="false" customHeight="false" outlineLevel="0" collapsed="false">
      <c r="A872" s="2" t="n">
        <v>2022</v>
      </c>
      <c r="B872" s="2" t="s">
        <v>91</v>
      </c>
      <c r="C872" s="4" t="str">
        <f aca="false">IFERROR(VLOOKUP($B872,Ref_Continente!$A:$B,2,FALSE()),"Sin clasificar")</f>
        <v>Europe</v>
      </c>
      <c r="D872" s="5" t="n">
        <v>20000</v>
      </c>
      <c r="E872" s="6" t="n">
        <v>14</v>
      </c>
      <c r="F872" s="6" t="n">
        <v>8700</v>
      </c>
      <c r="G872" s="5" t="n">
        <v>256898677175.02</v>
      </c>
      <c r="H872" s="4" t="n">
        <f aca="false">IFERROR(IF(AND(VLOOKUP($B872,Ref_Acuerdos!$A:$E,2,FALSE())="FTA",$A872&gt;=VLOOKUP($B872,Ref_Acuerdos!$A:$E,3,FALSE())),1,0),0)</f>
        <v>1</v>
      </c>
      <c r="I872" s="4" t="n">
        <f aca="false">IFERROR(IF(AND(VLOOKUP($B872,Ref_Acuerdos!$A:$E,2,FALSE())="PTA",$A872&gt;=VLOOKUP($B872,Ref_Acuerdos!$A:$E,3,FALSE())),1,0),0)</f>
        <v>0</v>
      </c>
      <c r="J872" s="7" t="n">
        <f aca="false">IFERROR(IF($A872&gt;=VLOOKUP($B872,Ref_Acuerdos!$A:$E,3,FALSE()),VLOOKUP($B872,Ref_Acuerdos!$A:$E,4,FALSE()),""),"")</f>
        <v>0</v>
      </c>
      <c r="K872" s="4" t="str">
        <f aca="false">IFERROR(IF($A872&gt;=VLOOKUP($B872,Ref_Acuerdos!$A:$E,3,FALSE()),VLOOKUP($B872,Ref_Acuerdos!$A:$E,5,FALSE()),"Sin FTA/PTA vigente ese año - arancel NMF"),"Sin FTA/PTA identificado - arancel NMF")</f>
        <v>UE-Ecuador Acuerdo Multipartes, vigente desde ene-2017</v>
      </c>
    </row>
    <row r="873" customFormat="false" ht="15" hidden="false" customHeight="false" outlineLevel="0" collapsed="false">
      <c r="A873" s="2" t="n">
        <v>2022</v>
      </c>
      <c r="B873" s="2" t="s">
        <v>89</v>
      </c>
      <c r="C873" s="4" t="str">
        <f aca="false">IFERROR(VLOOKUP($B873,Ref_Continente!$A:$B,2,FALSE()),"Sin clasificar")</f>
        <v>Asia</v>
      </c>
      <c r="D873" s="5" t="n">
        <v>19304</v>
      </c>
      <c r="E873" s="6" t="n">
        <v>2566.5</v>
      </c>
      <c r="F873" s="6" t="n">
        <v>17800</v>
      </c>
      <c r="G873" s="5" t="n">
        <v>404353369604.63</v>
      </c>
      <c r="H873" s="4" t="n">
        <f aca="false">IFERROR(IF(AND(VLOOKUP($B873,Ref_Acuerdos!$A:$E,2,FALSE())="FTA",$A873&gt;=VLOOKUP($B873,Ref_Acuerdos!$A:$E,3,FALSE())),1,0),0)</f>
        <v>0</v>
      </c>
      <c r="I873" s="4" t="n">
        <f aca="false">IFERROR(IF(AND(VLOOKUP($B873,Ref_Acuerdos!$A:$E,2,FALSE())="PTA",$A873&gt;=VLOOKUP($B873,Ref_Acuerdos!$A:$E,3,FALSE())),1,0),0)</f>
        <v>0</v>
      </c>
      <c r="J873" s="7" t="str">
        <f aca="false">IFERROR(IF($A873&gt;=VLOOKUP($B873,Ref_Acuerdos!$A:$E,3,FALSE()),VLOOKUP($B873,Ref_Acuerdos!$A:$E,4,FALSE()),""),"")</f>
        <v/>
      </c>
      <c r="K873" s="4" t="str">
        <f aca="false">IFERROR(IF($A873&gt;=VLOOKUP($B873,Ref_Acuerdos!$A:$E,3,FALSE()),VLOOKUP($B873,Ref_Acuerdos!$A:$E,5,FALSE()),"Sin FTA/PTA vigente ese año - arancel NMF"),"Sin FTA/PTA identificado - arancel NMF")</f>
        <v>Sin FTA/PTA identificado - arancel NMF</v>
      </c>
    </row>
    <row r="874" customFormat="false" ht="15" hidden="false" customHeight="false" outlineLevel="0" collapsed="false">
      <c r="A874" s="2" t="n">
        <v>2022</v>
      </c>
      <c r="B874" s="2" t="s">
        <v>117</v>
      </c>
      <c r="C874" s="4" t="str">
        <f aca="false">IFERROR(VLOOKUP($B874,Ref_Continente!$A:$B,2,FALSE()),"Sin clasificar")</f>
        <v>Europe</v>
      </c>
      <c r="D874" s="5" t="n">
        <v>12155</v>
      </c>
      <c r="E874" s="6" t="n">
        <v>1787</v>
      </c>
      <c r="F874" s="6" t="n">
        <v>9200</v>
      </c>
      <c r="G874" s="5" t="n">
        <v>3181244350465.41</v>
      </c>
      <c r="H874" s="4" t="n">
        <f aca="false">IFERROR(IF(AND(VLOOKUP($B874,Ref_Acuerdos!$A:$E,2,FALSE())="FTA",$A874&gt;=VLOOKUP($B874,Ref_Acuerdos!$A:$E,3,FALSE())),1,0),0)</f>
        <v>1</v>
      </c>
      <c r="I874" s="4" t="n">
        <f aca="false">IFERROR(IF(AND(VLOOKUP($B874,Ref_Acuerdos!$A:$E,2,FALSE())="PTA",$A874&gt;=VLOOKUP($B874,Ref_Acuerdos!$A:$E,3,FALSE())),1,0),0)</f>
        <v>0</v>
      </c>
      <c r="J874" s="7" t="n">
        <f aca="false">IFERROR(IF($A874&gt;=VLOOKUP($B874,Ref_Acuerdos!$A:$E,3,FALSE()),VLOOKUP($B874,Ref_Acuerdos!$A:$E,4,FALSE()),""),"")</f>
        <v>0</v>
      </c>
      <c r="K874" s="4" t="str">
        <f aca="false">IFERROR(IF($A874&gt;=VLOOKUP($B874,Ref_Acuerdos!$A:$E,3,FALSE()),VLOOKUP($B874,Ref_Acuerdos!$A:$E,5,FALSE()),"Sin FTA/PTA vigente ese año - arancel NMF"),"Sin FTA/PTA identificado - arancel NMF")</f>
        <v>Acuerdo de Continuidad Comercial Ecuador-Reino Unido (post-Brexit), vigente desde 2021</v>
      </c>
    </row>
    <row r="875" customFormat="false" ht="15" hidden="false" customHeight="false" outlineLevel="0" collapsed="false">
      <c r="A875" s="2" t="n">
        <v>2022</v>
      </c>
      <c r="B875" s="2" t="s">
        <v>116</v>
      </c>
      <c r="C875" s="4" t="str">
        <f aca="false">IFERROR(VLOOKUP($B875,Ref_Continente!$A:$B,2,FALSE()),"Sin clasificar")</f>
        <v>Asia</v>
      </c>
      <c r="D875" s="5" t="n">
        <v>10682</v>
      </c>
      <c r="E875" s="6" t="n">
        <v>2713.4</v>
      </c>
      <c r="F875" s="6" t="n">
        <v>14200</v>
      </c>
      <c r="G875" s="5" t="n">
        <v>511403403675.97</v>
      </c>
      <c r="H875" s="4" t="n">
        <f aca="false">IFERROR(IF(AND(VLOOKUP($B875,Ref_Acuerdos!$A:$E,2,FALSE())="FTA",$A875&gt;=VLOOKUP($B875,Ref_Acuerdos!$A:$E,3,FALSE())),1,0),0)</f>
        <v>0</v>
      </c>
      <c r="I875" s="4" t="n">
        <f aca="false">IFERROR(IF(AND(VLOOKUP($B875,Ref_Acuerdos!$A:$E,2,FALSE())="PTA",$A875&gt;=VLOOKUP($B875,Ref_Acuerdos!$A:$E,3,FALSE())),1,0),0)</f>
        <v>0</v>
      </c>
      <c r="J875" s="7" t="str">
        <f aca="false">IFERROR(IF($A875&gt;=VLOOKUP($B875,Ref_Acuerdos!$A:$E,3,FALSE()),VLOOKUP($B875,Ref_Acuerdos!$A:$E,4,FALSE()),""),"")</f>
        <v/>
      </c>
      <c r="K875" s="4" t="str">
        <f aca="false">IFERROR(IF($A875&gt;=VLOOKUP($B875,Ref_Acuerdos!$A:$E,3,FALSE()),VLOOKUP($B875,Ref_Acuerdos!$A:$E,5,FALSE()),"Sin FTA/PTA vigente ese año - arancel NMF"),"Sin FTA/PTA identificado - arancel NMF")</f>
        <v>Sin FTA/PTA identificado - arancel NMF</v>
      </c>
    </row>
    <row r="876" customFormat="false" ht="15" hidden="false" customHeight="false" outlineLevel="0" collapsed="false">
      <c r="A876" s="2" t="n">
        <v>2022</v>
      </c>
      <c r="B876" s="2" t="s">
        <v>6</v>
      </c>
      <c r="C876" s="4" t="str">
        <f aca="false">IFERROR(VLOOKUP($B876,Ref_Continente!$A:$B,2,FALSE()),"Sin clasificar")</f>
        <v>South America</v>
      </c>
      <c r="D876" s="5" t="n">
        <v>8663</v>
      </c>
      <c r="E876" s="6" t="n">
        <v>2375</v>
      </c>
      <c r="F876" s="6" t="n">
        <v>4320</v>
      </c>
      <c r="G876" s="5" t="n">
        <v>633993756301.08</v>
      </c>
      <c r="H876" s="4" t="n">
        <f aca="false">IFERROR(IF(AND(VLOOKUP($B876,Ref_Acuerdos!$A:$E,2,FALSE())="FTA",$A876&gt;=VLOOKUP($B876,Ref_Acuerdos!$A:$E,3,FALSE())),1,0),0)</f>
        <v>0</v>
      </c>
      <c r="I876" s="4" t="n">
        <f aca="false">IFERROR(IF(AND(VLOOKUP($B876,Ref_Acuerdos!$A:$E,2,FALSE())="PTA",$A876&gt;=VLOOKUP($B876,Ref_Acuerdos!$A:$E,3,FALSE())),1,0),0)</f>
        <v>1</v>
      </c>
      <c r="J876" s="7" t="n">
        <f aca="false">IFERROR(IF($A876&gt;=VLOOKUP($B876,Ref_Acuerdos!$A:$E,3,FALSE()),VLOOKUP($B876,Ref_Acuerdos!$A:$E,4,FALSE()),""),"")</f>
        <v>5</v>
      </c>
      <c r="K876" s="4" t="str">
        <f aca="false">IFERROR(IF($A876&gt;=VLOOKUP($B876,Ref_Acuerdos!$A:$E,3,FALSE()),VLOOKUP($B876,Ref_Acuerdos!$A:$E,5,FALSE()),"Sin FTA/PTA vigente ese año - arancel NMF"),"Sin FTA/PTA identificado - arancel NMF")</f>
        <v>Ecuador-Mercosur ACE 59 - preferencias parciales (tarifa referencial)</v>
      </c>
    </row>
    <row r="877" customFormat="false" ht="15" hidden="false" customHeight="false" outlineLevel="0" collapsed="false">
      <c r="A877" s="2" t="n">
        <v>2022</v>
      </c>
      <c r="B877" s="2" t="s">
        <v>35</v>
      </c>
      <c r="C877" s="4" t="str">
        <f aca="false">IFERROR(VLOOKUP($B877,Ref_Continente!$A:$B,2,FALSE()),"Sin clasificar")</f>
        <v>Europe</v>
      </c>
      <c r="D877" s="5" t="n">
        <v>8331</v>
      </c>
      <c r="E877" s="6" t="n">
        <v>1670.2</v>
      </c>
      <c r="F877" s="6" t="n">
        <v>10100</v>
      </c>
      <c r="G877" s="5" t="n">
        <v>301831228325.56</v>
      </c>
      <c r="H877" s="4" t="n">
        <f aca="false">IFERROR(IF(AND(VLOOKUP($B877,Ref_Acuerdos!$A:$E,2,FALSE())="FTA",$A877&gt;=VLOOKUP($B877,Ref_Acuerdos!$A:$E,3,FALSE())),1,0),0)</f>
        <v>1</v>
      </c>
      <c r="I877" s="4" t="n">
        <f aca="false">IFERROR(IF(AND(VLOOKUP($B877,Ref_Acuerdos!$A:$E,2,FALSE())="PTA",$A877&gt;=VLOOKUP($B877,Ref_Acuerdos!$A:$E,3,FALSE())),1,0),0)</f>
        <v>0</v>
      </c>
      <c r="J877" s="7" t="n">
        <f aca="false">IFERROR(IF($A877&gt;=VLOOKUP($B877,Ref_Acuerdos!$A:$E,3,FALSE()),VLOOKUP($B877,Ref_Acuerdos!$A:$E,4,FALSE()),""),"")</f>
        <v>0</v>
      </c>
      <c r="K877" s="4" t="str">
        <f aca="false">IFERROR(IF($A877&gt;=VLOOKUP($B877,Ref_Acuerdos!$A:$E,3,FALSE()),VLOOKUP($B877,Ref_Acuerdos!$A:$E,5,FALSE()),"Sin FTA/PTA vigente ese año - arancel NMF"),"Sin FTA/PTA identificado - arancel NMF")</f>
        <v>UE-Ecuador Acuerdo Multipartes, vigente desde ene-2017</v>
      </c>
    </row>
    <row r="878" customFormat="false" ht="15" hidden="false" customHeight="false" outlineLevel="0" collapsed="false">
      <c r="A878" s="2" t="n">
        <v>2022</v>
      </c>
      <c r="B878" s="2" t="s">
        <v>97</v>
      </c>
      <c r="C878" s="4" t="str">
        <f aca="false">IFERROR(VLOOKUP($B878,Ref_Continente!$A:$B,2,FALSE()),"Sin clasificar")</f>
        <v>North America</v>
      </c>
      <c r="D878" s="5" t="n">
        <v>5520</v>
      </c>
      <c r="E878" s="6" t="n">
        <v>624</v>
      </c>
      <c r="F878" s="6" t="n">
        <v>2900</v>
      </c>
      <c r="G878" s="5"/>
      <c r="H878" s="4" t="n">
        <f aca="false">IFERROR(IF(AND(VLOOKUP($B878,Ref_Acuerdos!$A:$E,2,FALSE())="FTA",$A878&gt;=VLOOKUP($B878,Ref_Acuerdos!$A:$E,3,FALSE())),1,0),0)</f>
        <v>0</v>
      </c>
      <c r="I878" s="4" t="n">
        <f aca="false">IFERROR(IF(AND(VLOOKUP($B878,Ref_Acuerdos!$A:$E,2,FALSE())="PTA",$A878&gt;=VLOOKUP($B878,Ref_Acuerdos!$A:$E,3,FALSE())),1,0),0)</f>
        <v>0</v>
      </c>
      <c r="J878" s="7" t="str">
        <f aca="false">IFERROR(IF($A878&gt;=VLOOKUP($B878,Ref_Acuerdos!$A:$E,3,FALSE()),VLOOKUP($B878,Ref_Acuerdos!$A:$E,4,FALSE()),""),"")</f>
        <v/>
      </c>
      <c r="K878" s="4" t="str">
        <f aca="false">IFERROR(IF($A878&gt;=VLOOKUP($B878,Ref_Acuerdos!$A:$E,3,FALSE()),VLOOKUP($B878,Ref_Acuerdos!$A:$E,5,FALSE()),"Sin FTA/PTA vigente ese año - arancel NMF"),"Sin FTA/PTA identificado - arancel NMF")</f>
        <v>Sin FTA/PTA identificado - arancel NMF</v>
      </c>
    </row>
    <row r="879" customFormat="false" ht="15" hidden="false" customHeight="false" outlineLevel="0" collapsed="false">
      <c r="A879" s="2" t="n">
        <v>2022</v>
      </c>
      <c r="B879" s="2" t="s">
        <v>40</v>
      </c>
      <c r="C879" s="4" t="str">
        <f aca="false">IFERROR(VLOOKUP($B879,Ref_Continente!$A:$B,2,FALSE()),"Sin clasificar")</f>
        <v>Europe</v>
      </c>
      <c r="D879" s="5" t="n">
        <v>4873</v>
      </c>
      <c r="E879" s="6" t="n">
        <v>1040.6</v>
      </c>
      <c r="F879" s="6" t="n">
        <v>10400</v>
      </c>
      <c r="G879" s="5" t="n">
        <v>38226641740.29</v>
      </c>
      <c r="H879" s="4" t="n">
        <f aca="false">IFERROR(IF(AND(VLOOKUP($B879,Ref_Acuerdos!$A:$E,2,FALSE())="FTA",$A879&gt;=VLOOKUP($B879,Ref_Acuerdos!$A:$E,3,FALSE())),1,0),0)</f>
        <v>1</v>
      </c>
      <c r="I879" s="4" t="n">
        <f aca="false">IFERROR(IF(AND(VLOOKUP($B879,Ref_Acuerdos!$A:$E,2,FALSE())="PTA",$A879&gt;=VLOOKUP($B879,Ref_Acuerdos!$A:$E,3,FALSE())),1,0),0)</f>
        <v>0</v>
      </c>
      <c r="J879" s="7" t="n">
        <f aca="false">IFERROR(IF($A879&gt;=VLOOKUP($B879,Ref_Acuerdos!$A:$E,3,FALSE()),VLOOKUP($B879,Ref_Acuerdos!$A:$E,4,FALSE()),""),"")</f>
        <v>0</v>
      </c>
      <c r="K879" s="4" t="str">
        <f aca="false">IFERROR(IF($A879&gt;=VLOOKUP($B879,Ref_Acuerdos!$A:$E,3,FALSE()),VLOOKUP($B879,Ref_Acuerdos!$A:$E,5,FALSE()),"Sin FTA/PTA vigente ese año - arancel NMF"),"Sin FTA/PTA identificado - arancel NMF")</f>
        <v>UE-Ecuador Acuerdo Multipartes, vigente desde ene-2017</v>
      </c>
    </row>
    <row r="880" customFormat="false" ht="15" hidden="false" customHeight="false" outlineLevel="0" collapsed="false">
      <c r="A880" s="2" t="n">
        <v>2022</v>
      </c>
      <c r="B880" s="2" t="s">
        <v>71</v>
      </c>
      <c r="C880" s="4" t="str">
        <f aca="false">IFERROR(VLOOKUP($B880,Ref_Continente!$A:$B,2,FALSE()),"Sin clasificar")</f>
        <v>Asia</v>
      </c>
      <c r="D880" s="5" t="n">
        <v>4753</v>
      </c>
      <c r="E880" s="6" t="n">
        <v>1038.8</v>
      </c>
      <c r="F880" s="6" t="n">
        <v>17100</v>
      </c>
      <c r="G880" s="5" t="n">
        <v>6177123352.26</v>
      </c>
      <c r="H880" s="4" t="n">
        <f aca="false">IFERROR(IF(AND(VLOOKUP($B880,Ref_Acuerdos!$A:$E,2,FALSE())="FTA",$A880&gt;=VLOOKUP($B880,Ref_Acuerdos!$A:$E,3,FALSE())),1,0),0)</f>
        <v>0</v>
      </c>
      <c r="I880" s="4" t="n">
        <f aca="false">IFERROR(IF(AND(VLOOKUP($B880,Ref_Acuerdos!$A:$E,2,FALSE())="PTA",$A880&gt;=VLOOKUP($B880,Ref_Acuerdos!$A:$E,3,FALSE())),1,0),0)</f>
        <v>0</v>
      </c>
      <c r="J880" s="7" t="str">
        <f aca="false">IFERROR(IF($A880&gt;=VLOOKUP($B880,Ref_Acuerdos!$A:$E,3,FALSE()),VLOOKUP($B880,Ref_Acuerdos!$A:$E,4,FALSE()),""),"")</f>
        <v/>
      </c>
      <c r="K880" s="4" t="str">
        <f aca="false">IFERROR(IF($A880&gt;=VLOOKUP($B880,Ref_Acuerdos!$A:$E,3,FALSE()),VLOOKUP($B880,Ref_Acuerdos!$A:$E,5,FALSE()),"Sin FTA/PTA vigente ese año - arancel NMF"),"Sin FTA/PTA identificado - arancel NMF")</f>
        <v>Sin FTA/PTA identificado - arancel NMF</v>
      </c>
    </row>
    <row r="881" customFormat="false" ht="15" hidden="false" customHeight="false" outlineLevel="0" collapsed="false">
      <c r="A881" s="2" t="n">
        <v>2022</v>
      </c>
      <c r="B881" s="2" t="s">
        <v>66</v>
      </c>
      <c r="C881" s="4" t="str">
        <f aca="false">IFERROR(VLOOKUP($B881,Ref_Continente!$A:$B,2,FALSE()),"Sin clasificar")</f>
        <v>Europe</v>
      </c>
      <c r="D881" s="5" t="n">
        <v>4452</v>
      </c>
      <c r="E881" s="6" t="n">
        <v>1057.5</v>
      </c>
      <c r="F881" s="6" t="n">
        <v>10400</v>
      </c>
      <c r="G881" s="5" t="n">
        <v>38003198508.91</v>
      </c>
      <c r="H881" s="4" t="n">
        <f aca="false">IFERROR(IF(AND(VLOOKUP($B881,Ref_Acuerdos!$A:$E,2,FALSE())="FTA",$A881&gt;=VLOOKUP($B881,Ref_Acuerdos!$A:$E,3,FALSE())),1,0),0)</f>
        <v>1</v>
      </c>
      <c r="I881" s="4" t="n">
        <f aca="false">IFERROR(IF(AND(VLOOKUP($B881,Ref_Acuerdos!$A:$E,2,FALSE())="PTA",$A881&gt;=VLOOKUP($B881,Ref_Acuerdos!$A:$E,3,FALSE())),1,0),0)</f>
        <v>0</v>
      </c>
      <c r="J881" s="7" t="n">
        <f aca="false">IFERROR(IF($A881&gt;=VLOOKUP($B881,Ref_Acuerdos!$A:$E,3,FALSE()),VLOOKUP($B881,Ref_Acuerdos!$A:$E,4,FALSE()),""),"")</f>
        <v>0</v>
      </c>
      <c r="K881" s="4" t="str">
        <f aca="false">IFERROR(IF($A881&gt;=VLOOKUP($B881,Ref_Acuerdos!$A:$E,3,FALSE()),VLOOKUP($B881,Ref_Acuerdos!$A:$E,5,FALSE()),"Sin FTA/PTA vigente ese año - arancel NMF"),"Sin FTA/PTA identificado - arancel NMF")</f>
        <v>UE-Ecuador Acuerdo Multipartes, vigente desde ene-2017</v>
      </c>
    </row>
    <row r="882" customFormat="false" ht="15" hidden="false" customHeight="false" outlineLevel="0" collapsed="false">
      <c r="A882" s="2" t="n">
        <v>2022</v>
      </c>
      <c r="B882" s="2" t="s">
        <v>32</v>
      </c>
      <c r="C882" s="4" t="str">
        <f aca="false">IFERROR(VLOOKUP($B882,Ref_Continente!$A:$B,2,FALSE()),"Sin clasificar")</f>
        <v>North America</v>
      </c>
      <c r="D882" s="5" t="n">
        <v>4196</v>
      </c>
      <c r="E882" s="6" t="n">
        <v>1513</v>
      </c>
      <c r="F882" s="6" t="n">
        <v>2450</v>
      </c>
      <c r="G882" s="5"/>
      <c r="H882" s="4" t="n">
        <f aca="false">IFERROR(IF(AND(VLOOKUP($B882,Ref_Acuerdos!$A:$E,2,FALSE())="FTA",$A882&gt;=VLOOKUP($B882,Ref_Acuerdos!$A:$E,3,FALSE())),1,0),0)</f>
        <v>0</v>
      </c>
      <c r="I882" s="4" t="n">
        <f aca="false">IFERROR(IF(AND(VLOOKUP($B882,Ref_Acuerdos!$A:$E,2,FALSE())="PTA",$A882&gt;=VLOOKUP($B882,Ref_Acuerdos!$A:$E,3,FALSE())),1,0),0)</f>
        <v>1</v>
      </c>
      <c r="J882" s="7" t="n">
        <f aca="false">IFERROR(IF($A882&gt;=VLOOKUP($B882,Ref_Acuerdos!$A:$E,3,FALSE()),VLOOKUP($B882,Ref_Acuerdos!$A:$E,4,FALSE()),""),"")</f>
        <v>10</v>
      </c>
      <c r="K882" s="4" t="str">
        <f aca="false">IFERROR(IF($A882&gt;=VLOOKUP($B882,Ref_Acuerdos!$A:$E,3,FALSE()),VLOOKUP($B882,Ref_Acuerdos!$A:$E,5,FALSE()),"Sin FTA/PTA vigente ese año - arancel NMF"),"Sin FTA/PTA identificado - arancel NMF")</f>
        <v>ALADI - Acuerdo de Alcance Parcial (preferencia limitada, tarifa referencial)</v>
      </c>
    </row>
    <row r="883" customFormat="false" ht="15" hidden="false" customHeight="false" outlineLevel="0" collapsed="false">
      <c r="A883" s="2" t="n">
        <v>2022</v>
      </c>
      <c r="B883" s="2" t="s">
        <v>24</v>
      </c>
      <c r="C883" s="4" t="str">
        <f aca="false">IFERROR(VLOOKUP($B883,Ref_Continente!$A:$B,2,FALSE()),"Sin clasificar")</f>
        <v>Europe</v>
      </c>
      <c r="D883" s="5" t="n">
        <v>4138</v>
      </c>
      <c r="E883" s="6" t="n">
        <v>1289.8</v>
      </c>
      <c r="F883" s="6" t="n">
        <v>10870</v>
      </c>
      <c r="G883" s="5" t="n">
        <v>90506153293.67</v>
      </c>
      <c r="H883" s="4" t="n">
        <f aca="false">IFERROR(IF(AND(VLOOKUP($B883,Ref_Acuerdos!$A:$E,2,FALSE())="FTA",$A883&gt;=VLOOKUP($B883,Ref_Acuerdos!$A:$E,3,FALSE())),1,0),0)</f>
        <v>1</v>
      </c>
      <c r="I883" s="4" t="n">
        <f aca="false">IFERROR(IF(AND(VLOOKUP($B883,Ref_Acuerdos!$A:$E,2,FALSE())="PTA",$A883&gt;=VLOOKUP($B883,Ref_Acuerdos!$A:$E,3,FALSE())),1,0),0)</f>
        <v>0</v>
      </c>
      <c r="J883" s="7" t="n">
        <f aca="false">IFERROR(IF($A883&gt;=VLOOKUP($B883,Ref_Acuerdos!$A:$E,3,FALSE()),VLOOKUP($B883,Ref_Acuerdos!$A:$E,4,FALSE()),""),"")</f>
        <v>0</v>
      </c>
      <c r="K883" s="4" t="str">
        <f aca="false">IFERROR(IF($A883&gt;=VLOOKUP($B883,Ref_Acuerdos!$A:$E,3,FALSE()),VLOOKUP($B883,Ref_Acuerdos!$A:$E,5,FALSE()),"Sin FTA/PTA vigente ese año - arancel NMF"),"Sin FTA/PTA identificado - arancel NMF")</f>
        <v>UE-Ecuador Acuerdo Multipartes, vigente desde ene-2017</v>
      </c>
    </row>
    <row r="884" customFormat="false" ht="15" hidden="false" customHeight="false" outlineLevel="0" collapsed="false">
      <c r="A884" s="2" t="n">
        <v>2022</v>
      </c>
      <c r="B884" s="2" t="s">
        <v>90</v>
      </c>
      <c r="C884" s="4" t="str">
        <f aca="false">IFERROR(VLOOKUP($B884,Ref_Continente!$A:$B,2,FALSE()),"Sin clasificar")</f>
        <v>Europe</v>
      </c>
      <c r="D884" s="5" t="n">
        <v>2864</v>
      </c>
      <c r="E884" s="6" t="n">
        <v>635.9</v>
      </c>
      <c r="F884" s="6" t="n">
        <v>10300</v>
      </c>
      <c r="G884" s="5" t="n">
        <v>695607470875.28</v>
      </c>
      <c r="H884" s="4" t="n">
        <f aca="false">IFERROR(IF(AND(VLOOKUP($B884,Ref_Acuerdos!$A:$E,2,FALSE())="FTA",$A884&gt;=VLOOKUP($B884,Ref_Acuerdos!$A:$E,3,FALSE())),1,0),0)</f>
        <v>1</v>
      </c>
      <c r="I884" s="4" t="n">
        <f aca="false">IFERROR(IF(AND(VLOOKUP($B884,Ref_Acuerdos!$A:$E,2,FALSE())="PTA",$A884&gt;=VLOOKUP($B884,Ref_Acuerdos!$A:$E,3,FALSE())),1,0),0)</f>
        <v>0</v>
      </c>
      <c r="J884" s="7" t="n">
        <f aca="false">IFERROR(IF($A884&gt;=VLOOKUP($B884,Ref_Acuerdos!$A:$E,3,FALSE()),VLOOKUP($B884,Ref_Acuerdos!$A:$E,4,FALSE()),""),"")</f>
        <v>0</v>
      </c>
      <c r="K884" s="4" t="str">
        <f aca="false">IFERROR(IF($A884&gt;=VLOOKUP($B884,Ref_Acuerdos!$A:$E,3,FALSE()),VLOOKUP($B884,Ref_Acuerdos!$A:$E,5,FALSE()),"Sin FTA/PTA vigente ese año - arancel NMF"),"Sin FTA/PTA identificado - arancel NMF")</f>
        <v>UE-Ecuador Acuerdo Multipartes, vigente desde ene-2017</v>
      </c>
    </row>
    <row r="885" customFormat="false" ht="15" hidden="false" customHeight="false" outlineLevel="0" collapsed="false">
      <c r="A885" s="2" t="n">
        <v>2022</v>
      </c>
      <c r="B885" s="2" t="s">
        <v>100</v>
      </c>
      <c r="C885" s="4" t="str">
        <f aca="false">IFERROR(VLOOKUP($B885,Ref_Continente!$A:$B,2,FALSE()),"Sin clasificar")</f>
        <v>Asia</v>
      </c>
      <c r="D885" s="5" t="n">
        <v>2445</v>
      </c>
      <c r="E885" s="6" t="n">
        <v>475.9</v>
      </c>
      <c r="F885" s="6" t="n">
        <v>13800</v>
      </c>
      <c r="G885" s="5" t="n">
        <v>1239075200000</v>
      </c>
      <c r="H885" s="4" t="n">
        <f aca="false">IFERROR(IF(AND(VLOOKUP($B885,Ref_Acuerdos!$A:$E,2,FALSE())="FTA",$A885&gt;=VLOOKUP($B885,Ref_Acuerdos!$A:$E,3,FALSE())),1,0),0)</f>
        <v>0</v>
      </c>
      <c r="I885" s="4" t="n">
        <f aca="false">IFERROR(IF(AND(VLOOKUP($B885,Ref_Acuerdos!$A:$E,2,FALSE())="PTA",$A885&gt;=VLOOKUP($B885,Ref_Acuerdos!$A:$E,3,FALSE())),1,0),0)</f>
        <v>0</v>
      </c>
      <c r="J885" s="7" t="str">
        <f aca="false">IFERROR(IF($A885&gt;=VLOOKUP($B885,Ref_Acuerdos!$A:$E,3,FALSE()),VLOOKUP($B885,Ref_Acuerdos!$A:$E,4,FALSE()),""),"")</f>
        <v/>
      </c>
      <c r="K885" s="4" t="str">
        <f aca="false">IFERROR(IF($A885&gt;=VLOOKUP($B885,Ref_Acuerdos!$A:$E,3,FALSE()),VLOOKUP($B885,Ref_Acuerdos!$A:$E,5,FALSE()),"Sin FTA/PTA vigente ese año - arancel NMF"),"Sin FTA/PTA identificado - arancel NMF")</f>
        <v>Sin FTA/PTA identificado - arancel NMF</v>
      </c>
    </row>
    <row r="886" customFormat="false" ht="15" hidden="false" customHeight="false" outlineLevel="0" collapsed="false">
      <c r="A886" s="2" t="n">
        <v>2022</v>
      </c>
      <c r="B886" s="2" t="s">
        <v>108</v>
      </c>
      <c r="C886" s="4" t="str">
        <f aca="false">IFERROR(VLOOKUP($B886,Ref_Continente!$A:$B,2,FALSE()),"Sin clasificar")</f>
        <v>Europe</v>
      </c>
      <c r="D886" s="5" t="n">
        <v>2434</v>
      </c>
      <c r="E886" s="6" t="n">
        <v>677.5</v>
      </c>
      <c r="F886" s="6" t="n">
        <v>9800</v>
      </c>
      <c r="G886" s="5" t="n">
        <v>828508926958.39</v>
      </c>
      <c r="H886" s="4" t="n">
        <f aca="false">IFERROR(IF(AND(VLOOKUP($B886,Ref_Acuerdos!$A:$E,2,FALSE())="FTA",$A886&gt;=VLOOKUP($B886,Ref_Acuerdos!$A:$E,3,FALSE())),1,0),0)</f>
        <v>1</v>
      </c>
      <c r="I886" s="4" t="n">
        <f aca="false">IFERROR(IF(AND(VLOOKUP($B886,Ref_Acuerdos!$A:$E,2,FALSE())="PTA",$A886&gt;=VLOOKUP($B886,Ref_Acuerdos!$A:$E,3,FALSE())),1,0),0)</f>
        <v>0</v>
      </c>
      <c r="J886" s="7" t="n">
        <f aca="false">IFERROR(IF($A886&gt;=VLOOKUP($B886,Ref_Acuerdos!$A:$E,3,FALSE()),VLOOKUP($B886,Ref_Acuerdos!$A:$E,4,FALSE()),""),"")</f>
        <v>0</v>
      </c>
      <c r="K886" s="4" t="str">
        <f aca="false">IFERROR(IF($A886&gt;=VLOOKUP($B886,Ref_Acuerdos!$A:$E,3,FALSE()),VLOOKUP($B886,Ref_Acuerdos!$A:$E,5,FALSE()),"Sin FTA/PTA vigente ese año - arancel NMF"),"Sin FTA/PTA identificado - arancel NMF")</f>
        <v>EFTA-Ecuador, vigente desde nov-2020</v>
      </c>
    </row>
    <row r="887" customFormat="false" ht="15" hidden="false" customHeight="false" outlineLevel="0" collapsed="false">
      <c r="A887" s="2" t="n">
        <v>2022</v>
      </c>
      <c r="B887" s="2" t="s">
        <v>120</v>
      </c>
      <c r="C887" s="4" t="str">
        <f aca="false">IFERROR(VLOOKUP($B887,Ref_Continente!$A:$B,2,FALSE()),"Sin clasificar")</f>
        <v>Asia</v>
      </c>
      <c r="D887" s="5" t="n">
        <v>2082</v>
      </c>
      <c r="E887" s="6" t="n">
        <v>425.1</v>
      </c>
      <c r="F887" s="6" t="n">
        <v>17600</v>
      </c>
      <c r="G887" s="5" t="n">
        <v>413445230668.58</v>
      </c>
      <c r="H887" s="4" t="n">
        <f aca="false">IFERROR(IF(AND(VLOOKUP($B887,Ref_Acuerdos!$A:$E,2,FALSE())="FTA",$A887&gt;=VLOOKUP($B887,Ref_Acuerdos!$A:$E,3,FALSE())),1,0),0)</f>
        <v>0</v>
      </c>
      <c r="I887" s="4" t="n">
        <f aca="false">IFERROR(IF(AND(VLOOKUP($B887,Ref_Acuerdos!$A:$E,2,FALSE())="PTA",$A887&gt;=VLOOKUP($B887,Ref_Acuerdos!$A:$E,3,FALSE())),1,0),0)</f>
        <v>0</v>
      </c>
      <c r="J887" s="7" t="str">
        <f aca="false">IFERROR(IF($A887&gt;=VLOOKUP($B887,Ref_Acuerdos!$A:$E,3,FALSE()),VLOOKUP($B887,Ref_Acuerdos!$A:$E,4,FALSE()),""),"")</f>
        <v/>
      </c>
      <c r="K887" s="4" t="str">
        <f aca="false">IFERROR(IF($A887&gt;=VLOOKUP($B887,Ref_Acuerdos!$A:$E,3,FALSE()),VLOOKUP($B887,Ref_Acuerdos!$A:$E,5,FALSE()),"Sin FTA/PTA vigente ese año - arancel NMF"),"Sin FTA/PTA identificado - arancel NMF")</f>
        <v>Sin FTA/PTA identificado - arancel NMF</v>
      </c>
    </row>
    <row r="888" customFormat="false" ht="15" hidden="false" customHeight="false" outlineLevel="0" collapsed="false">
      <c r="A888" s="2" t="n">
        <v>2022</v>
      </c>
      <c r="B888" s="2" t="s">
        <v>16</v>
      </c>
      <c r="C888" s="4" t="str">
        <f aca="false">IFERROR(VLOOKUP($B888,Ref_Continente!$A:$B,2,FALSE()),"Sin clasificar")</f>
        <v>Asia</v>
      </c>
      <c r="D888" s="5" t="n">
        <v>1984</v>
      </c>
      <c r="E888" s="6" t="n">
        <v>926.8</v>
      </c>
      <c r="F888" s="6" t="n">
        <v>13100</v>
      </c>
      <c r="G888" s="5" t="n">
        <v>78807470588.24</v>
      </c>
      <c r="H888" s="4" t="n">
        <f aca="false">IFERROR(IF(AND(VLOOKUP($B888,Ref_Acuerdos!$A:$E,2,FALSE())="FTA",$A888&gt;=VLOOKUP($B888,Ref_Acuerdos!$A:$E,3,FALSE())),1,0),0)</f>
        <v>0</v>
      </c>
      <c r="I888" s="4" t="n">
        <f aca="false">IFERROR(IF(AND(VLOOKUP($B888,Ref_Acuerdos!$A:$E,2,FALSE())="PTA",$A888&gt;=VLOOKUP($B888,Ref_Acuerdos!$A:$E,3,FALSE())),1,0),0)</f>
        <v>0</v>
      </c>
      <c r="J888" s="7" t="str">
        <f aca="false">IFERROR(IF($A888&gt;=VLOOKUP($B888,Ref_Acuerdos!$A:$E,3,FALSE()),VLOOKUP($B888,Ref_Acuerdos!$A:$E,4,FALSE()),""),"")</f>
        <v/>
      </c>
      <c r="K888" s="4" t="str">
        <f aca="false">IFERROR(IF($A888&gt;=VLOOKUP($B888,Ref_Acuerdos!$A:$E,3,FALSE()),VLOOKUP($B888,Ref_Acuerdos!$A:$E,5,FALSE()),"Sin FTA/PTA vigente ese año - arancel NMF"),"Sin FTA/PTA identificado - arancel NMF")</f>
        <v>Sin FTA/PTA identificado - arancel NMF</v>
      </c>
    </row>
    <row r="889" customFormat="false" ht="15" hidden="false" customHeight="false" outlineLevel="0" collapsed="false">
      <c r="A889" s="2" t="n">
        <v>2022</v>
      </c>
      <c r="B889" s="2" t="s">
        <v>119</v>
      </c>
      <c r="C889" s="4" t="str">
        <f aca="false">IFERROR(VLOOKUP($B889,Ref_Continente!$A:$B,2,FALSE()),"Sin clasificar")</f>
        <v>Asia</v>
      </c>
      <c r="D889" s="5" t="n">
        <v>1509</v>
      </c>
      <c r="E889" s="6" t="n">
        <v>338</v>
      </c>
      <c r="F889" s="6" t="n">
        <v>14400</v>
      </c>
      <c r="G889" s="5" t="n">
        <v>90095926567.44</v>
      </c>
      <c r="H889" s="4" t="n">
        <f aca="false">IFERROR(IF(AND(VLOOKUP($B889,Ref_Acuerdos!$A:$E,2,FALSE())="FTA",$A889&gt;=VLOOKUP($B889,Ref_Acuerdos!$A:$E,3,FALSE())),1,0),0)</f>
        <v>0</v>
      </c>
      <c r="I889" s="4" t="n">
        <f aca="false">IFERROR(IF(AND(VLOOKUP($B889,Ref_Acuerdos!$A:$E,2,FALSE())="PTA",$A889&gt;=VLOOKUP($B889,Ref_Acuerdos!$A:$E,3,FALSE())),1,0),0)</f>
        <v>0</v>
      </c>
      <c r="J889" s="7" t="str">
        <f aca="false">IFERROR(IF($A889&gt;=VLOOKUP($B889,Ref_Acuerdos!$A:$E,3,FALSE()),VLOOKUP($B889,Ref_Acuerdos!$A:$E,4,FALSE()),""),"")</f>
        <v/>
      </c>
      <c r="K889" s="4" t="str">
        <f aca="false">IFERROR(IF($A889&gt;=VLOOKUP($B889,Ref_Acuerdos!$A:$E,3,FALSE()),VLOOKUP($B889,Ref_Acuerdos!$A:$E,5,FALSE()),"Sin FTA/PTA vigente ese año - arancel NMF"),"Sin FTA/PTA identificado - arancel NMF")</f>
        <v>Sin FTA/PTA identificado - arancel NMF</v>
      </c>
    </row>
    <row r="890" customFormat="false" ht="15" hidden="false" customHeight="false" outlineLevel="0" collapsed="false">
      <c r="A890" s="2" t="n">
        <v>2022</v>
      </c>
      <c r="B890" s="2" t="s">
        <v>42</v>
      </c>
      <c r="C890" s="4" t="str">
        <f aca="false">IFERROR(VLOOKUP($B890,Ref_Continente!$A:$B,2,FALSE()),"Sin clasificar")</f>
        <v>Europe</v>
      </c>
      <c r="D890" s="5" t="n">
        <v>1210</v>
      </c>
      <c r="E890" s="6" t="n">
        <v>354.9</v>
      </c>
      <c r="F890" s="6" t="n">
        <v>9150</v>
      </c>
      <c r="G890" s="5" t="n">
        <v>2794788137066.94</v>
      </c>
      <c r="H890" s="4" t="n">
        <f aca="false">IFERROR(IF(AND(VLOOKUP($B890,Ref_Acuerdos!$A:$E,2,FALSE())="FTA",$A890&gt;=VLOOKUP($B890,Ref_Acuerdos!$A:$E,3,FALSE())),1,0),0)</f>
        <v>1</v>
      </c>
      <c r="I890" s="4" t="n">
        <f aca="false">IFERROR(IF(AND(VLOOKUP($B890,Ref_Acuerdos!$A:$E,2,FALSE())="PTA",$A890&gt;=VLOOKUP($B890,Ref_Acuerdos!$A:$E,3,FALSE())),1,0),0)</f>
        <v>0</v>
      </c>
      <c r="J890" s="7" t="n">
        <f aca="false">IFERROR(IF($A890&gt;=VLOOKUP($B890,Ref_Acuerdos!$A:$E,3,FALSE()),VLOOKUP($B890,Ref_Acuerdos!$A:$E,4,FALSE()),""),"")</f>
        <v>0</v>
      </c>
      <c r="K890" s="4" t="str">
        <f aca="false">IFERROR(IF($A890&gt;=VLOOKUP($B890,Ref_Acuerdos!$A:$E,3,FALSE()),VLOOKUP($B890,Ref_Acuerdos!$A:$E,5,FALSE()),"Sin FTA/PTA vigente ese año - arancel NMF"),"Sin FTA/PTA identificado - arancel NMF")</f>
        <v>UE-Ecuador Acuerdo Multipartes, vigente desde ene-2017</v>
      </c>
    </row>
    <row r="891" customFormat="false" ht="15" hidden="false" customHeight="false" outlineLevel="0" collapsed="false">
      <c r="A891" s="2" t="n">
        <v>2022</v>
      </c>
      <c r="B891" s="2" t="s">
        <v>31</v>
      </c>
      <c r="C891" s="4" t="str">
        <f aca="false">IFERROR(VLOOKUP($B891,Ref_Continente!$A:$B,2,FALSE()),"Sin clasificar")</f>
        <v>Europe</v>
      </c>
      <c r="D891" s="5" t="n">
        <v>1134</v>
      </c>
      <c r="E891" s="6" t="n">
        <v>540</v>
      </c>
      <c r="F891" s="6" t="n">
        <v>10400</v>
      </c>
      <c r="G891" s="5" t="n">
        <v>71196498671.11</v>
      </c>
      <c r="H891" s="4" t="n">
        <f aca="false">IFERROR(IF(AND(VLOOKUP($B891,Ref_Acuerdos!$A:$E,2,FALSE())="FTA",$A891&gt;=VLOOKUP($B891,Ref_Acuerdos!$A:$E,3,FALSE())),1,0),0)</f>
        <v>1</v>
      </c>
      <c r="I891" s="4" t="n">
        <f aca="false">IFERROR(IF(AND(VLOOKUP($B891,Ref_Acuerdos!$A:$E,2,FALSE())="PTA",$A891&gt;=VLOOKUP($B891,Ref_Acuerdos!$A:$E,3,FALSE())),1,0),0)</f>
        <v>0</v>
      </c>
      <c r="J891" s="7" t="n">
        <f aca="false">IFERROR(IF($A891&gt;=VLOOKUP($B891,Ref_Acuerdos!$A:$E,3,FALSE()),VLOOKUP($B891,Ref_Acuerdos!$A:$E,4,FALSE()),""),"")</f>
        <v>0</v>
      </c>
      <c r="K891" s="4" t="str">
        <f aca="false">IFERROR(IF($A891&gt;=VLOOKUP($B891,Ref_Acuerdos!$A:$E,3,FALSE()),VLOOKUP($B891,Ref_Acuerdos!$A:$E,5,FALSE()),"Sin FTA/PTA vigente ese año - arancel NMF"),"Sin FTA/PTA identificado - arancel NMF")</f>
        <v>UE-Ecuador Acuerdo Multipartes, vigente desde ene-2017</v>
      </c>
    </row>
    <row r="892" customFormat="false" ht="15" hidden="false" customHeight="false" outlineLevel="0" collapsed="false">
      <c r="A892" s="2" t="n">
        <v>2022</v>
      </c>
      <c r="B892" s="2" t="s">
        <v>18</v>
      </c>
      <c r="C892" s="4" t="str">
        <f aca="false">IFERROR(VLOOKUP($B892,Ref_Continente!$A:$B,2,FALSE()),"Sin clasificar")</f>
        <v>Asia</v>
      </c>
      <c r="D892" s="5" t="n">
        <v>463</v>
      </c>
      <c r="E892" s="6" t="n">
        <v>101.8</v>
      </c>
      <c r="F892" s="6" t="n">
        <v>13800</v>
      </c>
      <c r="G892" s="5" t="n">
        <v>46458191489.36</v>
      </c>
      <c r="H892" s="4" t="n">
        <f aca="false">IFERROR(IF(AND(VLOOKUP($B892,Ref_Acuerdos!$A:$E,2,FALSE())="FTA",$A892&gt;=VLOOKUP($B892,Ref_Acuerdos!$A:$E,3,FALSE())),1,0),0)</f>
        <v>0</v>
      </c>
      <c r="I892" s="4" t="n">
        <f aca="false">IFERROR(IF(AND(VLOOKUP($B892,Ref_Acuerdos!$A:$E,2,FALSE())="PTA",$A892&gt;=VLOOKUP($B892,Ref_Acuerdos!$A:$E,3,FALSE())),1,0),0)</f>
        <v>0</v>
      </c>
      <c r="J892" s="7" t="str">
        <f aca="false">IFERROR(IF($A892&gt;=VLOOKUP($B892,Ref_Acuerdos!$A:$E,3,FALSE()),VLOOKUP($B892,Ref_Acuerdos!$A:$E,4,FALSE()),""),"")</f>
        <v/>
      </c>
      <c r="K892" s="4" t="str">
        <f aca="false">IFERROR(IF($A892&gt;=VLOOKUP($B892,Ref_Acuerdos!$A:$E,3,FALSE()),VLOOKUP($B892,Ref_Acuerdos!$A:$E,5,FALSE()),"Sin FTA/PTA vigente ese año - arancel NMF"),"Sin FTA/PTA identificado - arancel NMF")</f>
        <v>Sin FTA/PTA identificado - arancel NMF</v>
      </c>
    </row>
    <row r="893" customFormat="false" ht="15" hidden="false" customHeight="false" outlineLevel="0" collapsed="false">
      <c r="A893" s="2" t="n">
        <v>2022</v>
      </c>
      <c r="B893" s="2" t="s">
        <v>102</v>
      </c>
      <c r="C893" s="4" t="str">
        <f aca="false">IFERROR(VLOOKUP($B893,Ref_Continente!$A:$B,2,FALSE()),"Sin clasificar")</f>
        <v>Asia</v>
      </c>
      <c r="D893" s="5" t="n">
        <v>202</v>
      </c>
      <c r="E893" s="6" t="n">
        <v>27</v>
      </c>
      <c r="F893" s="6" t="n">
        <v>18800</v>
      </c>
      <c r="G893" s="5" t="n">
        <v>509017841146.56</v>
      </c>
      <c r="H893" s="4" t="n">
        <f aca="false">IFERROR(IF(AND(VLOOKUP($B893,Ref_Acuerdos!$A:$E,2,FALSE())="FTA",$A893&gt;=VLOOKUP($B893,Ref_Acuerdos!$A:$E,3,FALSE())),1,0),0)</f>
        <v>0</v>
      </c>
      <c r="I893" s="4" t="n">
        <f aca="false">IFERROR(IF(AND(VLOOKUP($B893,Ref_Acuerdos!$A:$E,2,FALSE())="PTA",$A893&gt;=VLOOKUP($B893,Ref_Acuerdos!$A:$E,3,FALSE())),1,0),0)</f>
        <v>0</v>
      </c>
      <c r="J893" s="7" t="str">
        <f aca="false">IFERROR(IF($A893&gt;=VLOOKUP($B893,Ref_Acuerdos!$A:$E,3,FALSE()),VLOOKUP($B893,Ref_Acuerdos!$A:$E,4,FALSE()),""),"")</f>
        <v/>
      </c>
      <c r="K893" s="4" t="str">
        <f aca="false">IFERROR(IF($A893&gt;=VLOOKUP($B893,Ref_Acuerdos!$A:$E,3,FALSE()),VLOOKUP($B893,Ref_Acuerdos!$A:$E,5,FALSE()),"Sin FTA/PTA vigente ese año - arancel NMF"),"Sin FTA/PTA identificado - arancel NMF")</f>
        <v>Sin FTA/PTA identificado - arancel NMF</v>
      </c>
    </row>
    <row r="894" customFormat="false" ht="15" hidden="false" customHeight="false" outlineLevel="0" collapsed="false">
      <c r="A894" s="2" t="n">
        <v>2022</v>
      </c>
      <c r="B894" s="2" t="s">
        <v>14</v>
      </c>
      <c r="C894" s="4" t="str">
        <f aca="false">IFERROR(VLOOKUP($B894,Ref_Continente!$A:$B,2,FALSE()),"Sin clasificar")</f>
        <v>Europe</v>
      </c>
      <c r="D894" s="5" t="n">
        <v>200</v>
      </c>
      <c r="E894" s="6" t="n">
        <v>200</v>
      </c>
      <c r="F894" s="6" t="n">
        <v>10050</v>
      </c>
      <c r="G894" s="5" t="n">
        <v>473221298968.22</v>
      </c>
      <c r="H894" s="4" t="n">
        <f aca="false">IFERROR(IF(AND(VLOOKUP($B894,Ref_Acuerdos!$A:$E,2,FALSE())="FTA",$A894&gt;=VLOOKUP($B894,Ref_Acuerdos!$A:$E,3,FALSE())),1,0),0)</f>
        <v>1</v>
      </c>
      <c r="I894" s="4" t="n">
        <f aca="false">IFERROR(IF(AND(VLOOKUP($B894,Ref_Acuerdos!$A:$E,2,FALSE())="PTA",$A894&gt;=VLOOKUP($B894,Ref_Acuerdos!$A:$E,3,FALSE())),1,0),0)</f>
        <v>0</v>
      </c>
      <c r="J894" s="7" t="n">
        <f aca="false">IFERROR(IF($A894&gt;=VLOOKUP($B894,Ref_Acuerdos!$A:$E,3,FALSE()),VLOOKUP($B894,Ref_Acuerdos!$A:$E,4,FALSE()),""),"")</f>
        <v>0</v>
      </c>
      <c r="K894" s="4" t="str">
        <f aca="false">IFERROR(IF($A894&gt;=VLOOKUP($B894,Ref_Acuerdos!$A:$E,3,FALSE()),VLOOKUP($B894,Ref_Acuerdos!$A:$E,5,FALSE()),"Sin FTA/PTA vigente ese año - arancel NMF"),"Sin FTA/PTA identificado - arancel NMF")</f>
        <v>UE-Ecuador Acuerdo Multipartes, vigente desde ene-2017</v>
      </c>
    </row>
    <row r="895" customFormat="false" ht="15" hidden="false" customHeight="false" outlineLevel="0" collapsed="false">
      <c r="A895" s="2" t="n">
        <v>2022</v>
      </c>
      <c r="B895" s="2" t="s">
        <v>22</v>
      </c>
      <c r="C895" s="4" t="str">
        <f aca="false">IFERROR(VLOOKUP($B895,Ref_Continente!$A:$B,2,FALSE()),"Sin clasificar")</f>
        <v>Europe</v>
      </c>
      <c r="D895" s="5" t="n">
        <v>200</v>
      </c>
      <c r="E895" s="6" t="n">
        <v>46.1</v>
      </c>
      <c r="F895" s="6" t="n">
        <v>10500</v>
      </c>
      <c r="G895" s="5"/>
      <c r="H895" s="4" t="n">
        <f aca="false">IFERROR(IF(AND(VLOOKUP($B895,Ref_Acuerdos!$A:$E,2,FALSE())="FTA",$A895&gt;=VLOOKUP($B895,Ref_Acuerdos!$A:$E,3,FALSE())),1,0),0)</f>
        <v>0</v>
      </c>
      <c r="I895" s="4" t="n">
        <f aca="false">IFERROR(IF(AND(VLOOKUP($B895,Ref_Acuerdos!$A:$E,2,FALSE())="PTA",$A895&gt;=VLOOKUP($B895,Ref_Acuerdos!$A:$E,3,FALSE())),1,0),0)</f>
        <v>0</v>
      </c>
      <c r="J895" s="7" t="str">
        <f aca="false">IFERROR(IF($A895&gt;=VLOOKUP($B895,Ref_Acuerdos!$A:$E,3,FALSE()),VLOOKUP($B895,Ref_Acuerdos!$A:$E,4,FALSE()),""),"")</f>
        <v/>
      </c>
      <c r="K895" s="4" t="str">
        <f aca="false">IFERROR(IF($A895&gt;=VLOOKUP($B895,Ref_Acuerdos!$A:$E,3,FALSE()),VLOOKUP($B895,Ref_Acuerdos!$A:$E,5,FALSE()),"Sin FTA/PTA vigente ese año - arancel NMF"),"Sin FTA/PTA identificado - arancel NMF")</f>
        <v>Sin FTA/PTA identificado - arancel NMF</v>
      </c>
    </row>
    <row r="896" customFormat="false" ht="15" hidden="false" customHeight="false" outlineLevel="0" collapsed="false">
      <c r="A896" s="2" t="n">
        <v>2022</v>
      </c>
      <c r="B896" s="2" t="s">
        <v>27</v>
      </c>
      <c r="C896" s="4" t="str">
        <f aca="false">IFERROR(VLOOKUP($B896,Ref_Continente!$A:$B,2,FALSE()),"Sin clasificar")</f>
        <v>Asia</v>
      </c>
      <c r="D896" s="5" t="n">
        <v>187</v>
      </c>
      <c r="E896" s="6" t="n">
        <v>37.4</v>
      </c>
      <c r="F896" s="6" t="n">
        <v>17000</v>
      </c>
      <c r="G896" s="5" t="n">
        <v>18316765021690.2</v>
      </c>
      <c r="H896" s="4" t="n">
        <f aca="false">IFERROR(IF(AND(VLOOKUP($B896,Ref_Acuerdos!$A:$E,2,FALSE())="FTA",$A896&gt;=VLOOKUP($B896,Ref_Acuerdos!$A:$E,3,FALSE())),1,0),0)</f>
        <v>0</v>
      </c>
      <c r="I896" s="4" t="n">
        <f aca="false">IFERROR(IF(AND(VLOOKUP($B896,Ref_Acuerdos!$A:$E,2,FALSE())="PTA",$A896&gt;=VLOOKUP($B896,Ref_Acuerdos!$A:$E,3,FALSE())),1,0),0)</f>
        <v>0</v>
      </c>
      <c r="J896" s="7" t="str">
        <f aca="false">IFERROR(IF($A896&gt;=VLOOKUP($B896,Ref_Acuerdos!$A:$E,3,FALSE()),VLOOKUP($B896,Ref_Acuerdos!$A:$E,4,FALSE()),""),"")</f>
        <v/>
      </c>
      <c r="K896" s="4" t="str">
        <f aca="false">IFERROR(IF($A896&gt;=VLOOKUP($B896,Ref_Acuerdos!$A:$E,3,FALSE()),VLOOKUP($B896,Ref_Acuerdos!$A:$E,5,FALSE()),"Sin FTA/PTA vigente ese año - arancel NMF"),"Sin FTA/PTA identificado - arancel NMF")</f>
        <v>Sin FTA/PTA vigente ese año - arancel NMF</v>
      </c>
    </row>
    <row r="897" customFormat="false" ht="15" hidden="false" customHeight="false" outlineLevel="0" collapsed="false">
      <c r="A897" s="2" t="n">
        <v>2022</v>
      </c>
      <c r="B897" s="2" t="s">
        <v>48</v>
      </c>
      <c r="C897" s="4" t="str">
        <f aca="false">IFERROR(VLOOKUP($B897,Ref_Continente!$A:$B,2,FALSE()),"Sin clasificar")</f>
        <v>North America</v>
      </c>
      <c r="D897" s="5" t="n">
        <v>119</v>
      </c>
      <c r="E897" s="6" t="n">
        <v>11.1</v>
      </c>
      <c r="F897" s="6" t="n">
        <v>2000</v>
      </c>
      <c r="G897" s="5" t="n">
        <v>95641446500.65</v>
      </c>
      <c r="H897" s="4" t="n">
        <f aca="false">IFERROR(IF(AND(VLOOKUP($B897,Ref_Acuerdos!$A:$E,2,FALSE())="FTA",$A897&gt;=VLOOKUP($B897,Ref_Acuerdos!$A:$E,3,FALSE())),1,0),0)</f>
        <v>0</v>
      </c>
      <c r="I897" s="4" t="n">
        <f aca="false">IFERROR(IF(AND(VLOOKUP($B897,Ref_Acuerdos!$A:$E,2,FALSE())="PTA",$A897&gt;=VLOOKUP($B897,Ref_Acuerdos!$A:$E,3,FALSE())),1,0),0)</f>
        <v>1</v>
      </c>
      <c r="J897" s="7" t="n">
        <f aca="false">IFERROR(IF($A897&gt;=VLOOKUP($B897,Ref_Acuerdos!$A:$E,3,FALSE()),VLOOKUP($B897,Ref_Acuerdos!$A:$E,4,FALSE()),""),"")</f>
        <v>10</v>
      </c>
      <c r="K897" s="4" t="str">
        <f aca="false">IFERROR(IF($A897&gt;=VLOOKUP($B897,Ref_Acuerdos!$A:$E,3,FALSE()),VLOOKUP($B897,Ref_Acuerdos!$A:$E,5,FALSE()),"Sin FTA/PTA vigente ese año - arancel NMF"),"Sin FTA/PTA identificado - arancel NMF")</f>
        <v>ALADI - Acuerdo de Alcance Parcial (preferencia limitada, tarifa referencial)</v>
      </c>
    </row>
    <row r="898" customFormat="false" ht="15" hidden="false" customHeight="false" outlineLevel="0" collapsed="false">
      <c r="A898" s="2" t="n">
        <v>2023</v>
      </c>
      <c r="B898" s="2" t="s">
        <v>61</v>
      </c>
      <c r="C898" s="4" t="str">
        <f aca="false">IFERROR(VLOOKUP($B898,Ref_Continente!$A:$B,2,FALSE()),"Sin clasificar")</f>
        <v>Asia</v>
      </c>
      <c r="D898" s="5" t="n">
        <v>6261870</v>
      </c>
      <c r="E898" s="6" t="n">
        <v>0</v>
      </c>
      <c r="F898" s="6" t="n">
        <v>14500</v>
      </c>
      <c r="G898" s="5" t="n">
        <v>4213167237905.83</v>
      </c>
      <c r="H898" s="4" t="n">
        <f aca="false">IFERROR(IF(AND(VLOOKUP($B898,Ref_Acuerdos!$A:$E,2,FALSE())="FTA",$A898&gt;=VLOOKUP($B898,Ref_Acuerdos!$A:$E,3,FALSE())),1,0),0)</f>
        <v>0</v>
      </c>
      <c r="I898" s="4" t="n">
        <f aca="false">IFERROR(IF(AND(VLOOKUP($B898,Ref_Acuerdos!$A:$E,2,FALSE())="PTA",$A898&gt;=VLOOKUP($B898,Ref_Acuerdos!$A:$E,3,FALSE())),1,0),0)</f>
        <v>0</v>
      </c>
      <c r="J898" s="7" t="str">
        <f aca="false">IFERROR(IF($A898&gt;=VLOOKUP($B898,Ref_Acuerdos!$A:$E,3,FALSE()),VLOOKUP($B898,Ref_Acuerdos!$A:$E,4,FALSE()),""),"")</f>
        <v/>
      </c>
      <c r="K898" s="4" t="str">
        <f aca="false">IFERROR(IF($A898&gt;=VLOOKUP($B898,Ref_Acuerdos!$A:$E,3,FALSE()),VLOOKUP($B898,Ref_Acuerdos!$A:$E,5,FALSE()),"Sin FTA/PTA vigente ese año - arancel NMF"),"Sin FTA/PTA identificado - arancel NMF")</f>
        <v>Sin FTA/PTA identificado - arancel NMF</v>
      </c>
    </row>
    <row r="899" customFormat="false" ht="15" hidden="false" customHeight="false" outlineLevel="0" collapsed="false">
      <c r="A899" s="2" t="n">
        <v>2023</v>
      </c>
      <c r="B899" s="2" t="s">
        <v>63</v>
      </c>
      <c r="C899" s="4" t="str">
        <f aca="false">IFERROR(VLOOKUP($B899,Ref_Continente!$A:$B,2,FALSE()),"Sin clasificar")</f>
        <v>Asia</v>
      </c>
      <c r="D899" s="5" t="n">
        <v>5555133</v>
      </c>
      <c r="E899" s="6" t="n">
        <v>877839</v>
      </c>
      <c r="F899" s="6" t="n">
        <v>13600</v>
      </c>
      <c r="G899" s="5" t="n">
        <v>261840101059.92</v>
      </c>
      <c r="H899" s="4" t="n">
        <f aca="false">IFERROR(IF(AND(VLOOKUP($B899,Ref_Acuerdos!$A:$E,2,FALSE())="FTA",$A899&gt;=VLOOKUP($B899,Ref_Acuerdos!$A:$E,3,FALSE())),1,0),0)</f>
        <v>0</v>
      </c>
      <c r="I899" s="4" t="n">
        <f aca="false">IFERROR(IF(AND(VLOOKUP($B899,Ref_Acuerdos!$A:$E,2,FALSE())="PTA",$A899&gt;=VLOOKUP($B899,Ref_Acuerdos!$A:$E,3,FALSE())),1,0),0)</f>
        <v>0</v>
      </c>
      <c r="J899" s="7" t="str">
        <f aca="false">IFERROR(IF($A899&gt;=VLOOKUP($B899,Ref_Acuerdos!$A:$E,3,FALSE()),VLOOKUP($B899,Ref_Acuerdos!$A:$E,4,FALSE()),""),"")</f>
        <v/>
      </c>
      <c r="K899" s="4" t="str">
        <f aca="false">IFERROR(IF($A899&gt;=VLOOKUP($B899,Ref_Acuerdos!$A:$E,3,FALSE()),VLOOKUP($B899,Ref_Acuerdos!$A:$E,5,FALSE()),"Sin FTA/PTA vigente ese año - arancel NMF"),"Sin FTA/PTA identificado - arancel NMF")</f>
        <v>Sin FTA/PTA identificado - arancel NMF</v>
      </c>
    </row>
    <row r="900" customFormat="false" ht="15" hidden="false" customHeight="false" outlineLevel="0" collapsed="false">
      <c r="A900" s="2" t="n">
        <v>2023</v>
      </c>
      <c r="B900" s="2" t="s">
        <v>114</v>
      </c>
      <c r="C900" s="4" t="str">
        <f aca="false">IFERROR(VLOOKUP($B900,Ref_Continente!$A:$B,2,FALSE()),"Sin clasificar")</f>
        <v>North America</v>
      </c>
      <c r="D900" s="5" t="n">
        <v>4286171</v>
      </c>
      <c r="E900" s="6" t="n">
        <v>0</v>
      </c>
      <c r="F900" s="6" t="n">
        <v>4550</v>
      </c>
      <c r="G900" s="5" t="n">
        <v>27292170793214.4</v>
      </c>
      <c r="H900" s="4" t="n">
        <f aca="false">IFERROR(IF(AND(VLOOKUP($B900,Ref_Acuerdos!$A:$E,2,FALSE())="FTA",$A900&gt;=VLOOKUP($B900,Ref_Acuerdos!$A:$E,3,FALSE())),1,0),0)</f>
        <v>0</v>
      </c>
      <c r="I900" s="4" t="n">
        <f aca="false">IFERROR(IF(AND(VLOOKUP($B900,Ref_Acuerdos!$A:$E,2,FALSE())="PTA",$A900&gt;=VLOOKUP($B900,Ref_Acuerdos!$A:$E,3,FALSE())),1,0),0)</f>
        <v>0</v>
      </c>
      <c r="J900" s="7" t="str">
        <f aca="false">IFERROR(IF($A900&gt;=VLOOKUP($B900,Ref_Acuerdos!$A:$E,3,FALSE()),VLOOKUP($B900,Ref_Acuerdos!$A:$E,4,FALSE()),""),"")</f>
        <v/>
      </c>
      <c r="K900" s="4" t="str">
        <f aca="false">IFERROR(IF($A900&gt;=VLOOKUP($B900,Ref_Acuerdos!$A:$E,3,FALSE()),VLOOKUP($B900,Ref_Acuerdos!$A:$E,5,FALSE()),"Sin FTA/PTA vigente ese año - arancel NMF"),"Sin FTA/PTA identificado - arancel NMF")</f>
        <v>Sin FTA/PTA identificado - arancel NMF</v>
      </c>
    </row>
    <row r="901" customFormat="false" ht="15" hidden="false" customHeight="false" outlineLevel="0" collapsed="false">
      <c r="A901" s="2" t="n">
        <v>2023</v>
      </c>
      <c r="B901" s="2" t="s">
        <v>115</v>
      </c>
      <c r="C901" s="4" t="str">
        <f aca="false">IFERROR(VLOOKUP($B901,Ref_Continente!$A:$B,2,FALSE()),"Sin clasificar")</f>
        <v>Europe</v>
      </c>
      <c r="D901" s="5" t="n">
        <v>1250842</v>
      </c>
      <c r="E901" s="6" t="n">
        <v>0</v>
      </c>
      <c r="F901" s="6" t="n">
        <v>11</v>
      </c>
      <c r="G901" s="5" t="n">
        <v>181221517868.74</v>
      </c>
      <c r="H901" s="4" t="n">
        <f aca="false">IFERROR(IF(AND(VLOOKUP($B901,Ref_Acuerdos!$A:$E,2,FALSE())="FTA",$A901&gt;=VLOOKUP($B901,Ref_Acuerdos!$A:$E,3,FALSE())),1,0),0)</f>
        <v>0</v>
      </c>
      <c r="I901" s="4" t="n">
        <f aca="false">IFERROR(IF(AND(VLOOKUP($B901,Ref_Acuerdos!$A:$E,2,FALSE())="PTA",$A901&gt;=VLOOKUP($B901,Ref_Acuerdos!$A:$E,3,FALSE())),1,0),0)</f>
        <v>0</v>
      </c>
      <c r="J901" s="7" t="str">
        <f aca="false">IFERROR(IF($A901&gt;=VLOOKUP($B901,Ref_Acuerdos!$A:$E,3,FALSE()),VLOOKUP($B901,Ref_Acuerdos!$A:$E,4,FALSE()),""),"")</f>
        <v/>
      </c>
      <c r="K901" s="4" t="str">
        <f aca="false">IFERROR(IF($A901&gt;=VLOOKUP($B901,Ref_Acuerdos!$A:$E,3,FALSE()),VLOOKUP($B901,Ref_Acuerdos!$A:$E,5,FALSE()),"Sin FTA/PTA vigente ese año - arancel NMF"),"Sin FTA/PTA identificado - arancel NMF")</f>
        <v>Sin FTA/PTA identificado - arancel NMF</v>
      </c>
    </row>
    <row r="902" customFormat="false" ht="15" hidden="false" customHeight="false" outlineLevel="0" collapsed="false">
      <c r="A902" s="2" t="n">
        <v>2023</v>
      </c>
      <c r="B902" s="2" t="s">
        <v>77</v>
      </c>
      <c r="C902" s="4" t="str">
        <f aca="false">IFERROR(VLOOKUP($B902,Ref_Continente!$A:$B,2,FALSE()),"Sin clasificar")</f>
        <v>Europe</v>
      </c>
      <c r="D902" s="5" t="n">
        <v>1090740</v>
      </c>
      <c r="E902" s="6" t="n">
        <v>0</v>
      </c>
      <c r="F902" s="6" t="n">
        <v>9300</v>
      </c>
      <c r="G902" s="5" t="n">
        <v>1135475867551</v>
      </c>
      <c r="H902" s="4" t="n">
        <f aca="false">IFERROR(IF(AND(VLOOKUP($B902,Ref_Acuerdos!$A:$E,2,FALSE())="FTA",$A902&gt;=VLOOKUP($B902,Ref_Acuerdos!$A:$E,3,FALSE())),1,0),0)</f>
        <v>1</v>
      </c>
      <c r="I902" s="4" t="n">
        <f aca="false">IFERROR(IF(AND(VLOOKUP($B902,Ref_Acuerdos!$A:$E,2,FALSE())="PTA",$A902&gt;=VLOOKUP($B902,Ref_Acuerdos!$A:$E,3,FALSE())),1,0),0)</f>
        <v>0</v>
      </c>
      <c r="J902" s="7" t="n">
        <f aca="false">IFERROR(IF($A902&gt;=VLOOKUP($B902,Ref_Acuerdos!$A:$E,3,FALSE()),VLOOKUP($B902,Ref_Acuerdos!$A:$E,4,FALSE()),""),"")</f>
        <v>0</v>
      </c>
      <c r="K902" s="4" t="str">
        <f aca="false">IFERROR(IF($A902&gt;=VLOOKUP($B902,Ref_Acuerdos!$A:$E,3,FALSE()),VLOOKUP($B902,Ref_Acuerdos!$A:$E,5,FALSE()),"Sin FTA/PTA vigente ese año - arancel NMF"),"Sin FTA/PTA identificado - arancel NMF")</f>
        <v>UE-Ecuador Acuerdo Multipartes, vigente desde ene-2017</v>
      </c>
    </row>
    <row r="903" customFormat="false" ht="15" hidden="false" customHeight="false" outlineLevel="0" collapsed="false">
      <c r="A903" s="2" t="n">
        <v>2023</v>
      </c>
      <c r="B903" s="2" t="s">
        <v>65</v>
      </c>
      <c r="C903" s="4" t="str">
        <f aca="false">IFERROR(VLOOKUP($B903,Ref_Continente!$A:$B,2,FALSE()),"Sin clasificar")</f>
        <v>Asia</v>
      </c>
      <c r="D903" s="5" t="n">
        <v>956778</v>
      </c>
      <c r="E903" s="6" t="n">
        <v>15118</v>
      </c>
      <c r="F903" s="6" t="n">
        <v>14300</v>
      </c>
      <c r="G903" s="5"/>
      <c r="H903" s="4" t="n">
        <f aca="false">IFERROR(IF(AND(VLOOKUP($B903,Ref_Acuerdos!$A:$E,2,FALSE())="FTA",$A903&gt;=VLOOKUP($B903,Ref_Acuerdos!$A:$E,3,FALSE())),1,0),0)</f>
        <v>0</v>
      </c>
      <c r="I903" s="4" t="n">
        <f aca="false">IFERROR(IF(AND(VLOOKUP($B903,Ref_Acuerdos!$A:$E,2,FALSE())="PTA",$A903&gt;=VLOOKUP($B903,Ref_Acuerdos!$A:$E,3,FALSE())),1,0),0)</f>
        <v>0</v>
      </c>
      <c r="J903" s="7" t="str">
        <f aca="false">IFERROR(IF($A903&gt;=VLOOKUP($B903,Ref_Acuerdos!$A:$E,3,FALSE()),VLOOKUP($B903,Ref_Acuerdos!$A:$E,4,FALSE()),""),"")</f>
        <v/>
      </c>
      <c r="K903" s="4" t="str">
        <f aca="false">IFERROR(IF($A903&gt;=VLOOKUP($B903,Ref_Acuerdos!$A:$E,3,FALSE()),VLOOKUP($B903,Ref_Acuerdos!$A:$E,5,FALSE()),"Sin FTA/PTA vigente ese año - arancel NMF"),"Sin FTA/PTA identificado - arancel NMF")</f>
        <v>Sin FTA/PTA identificado - arancel NMF</v>
      </c>
    </row>
    <row r="904" customFormat="false" ht="15" hidden="false" customHeight="false" outlineLevel="0" collapsed="false">
      <c r="A904" s="2" t="n">
        <v>2023</v>
      </c>
      <c r="B904" s="2" t="s">
        <v>37</v>
      </c>
      <c r="C904" s="4" t="str">
        <f aca="false">IFERROR(VLOOKUP($B904,Ref_Continente!$A:$B,2,FALSE()),"Sin clasificar")</f>
        <v>North America</v>
      </c>
      <c r="D904" s="5" t="n">
        <v>480617</v>
      </c>
      <c r="E904" s="6" t="n">
        <v>0</v>
      </c>
      <c r="F904" s="6" t="n">
        <v>2200</v>
      </c>
      <c r="G904" s="5" t="n">
        <v>120456239153.74</v>
      </c>
      <c r="H904" s="4" t="n">
        <f aca="false">IFERROR(IF(AND(VLOOKUP($B904,Ref_Acuerdos!$A:$E,2,FALSE())="FTA",$A904&gt;=VLOOKUP($B904,Ref_Acuerdos!$A:$E,3,FALSE())),1,0),0)</f>
        <v>0</v>
      </c>
      <c r="I904" s="4" t="n">
        <f aca="false">IFERROR(IF(AND(VLOOKUP($B904,Ref_Acuerdos!$A:$E,2,FALSE())="PTA",$A904&gt;=VLOOKUP($B904,Ref_Acuerdos!$A:$E,3,FALSE())),1,0),0)</f>
        <v>0</v>
      </c>
      <c r="J904" s="7" t="str">
        <f aca="false">IFERROR(IF($A904&gt;=VLOOKUP($B904,Ref_Acuerdos!$A:$E,3,FALSE()),VLOOKUP($B904,Ref_Acuerdos!$A:$E,4,FALSE()),""),"")</f>
        <v/>
      </c>
      <c r="K904" s="4" t="str">
        <f aca="false">IFERROR(IF($A904&gt;=VLOOKUP($B904,Ref_Acuerdos!$A:$E,3,FALSE()),VLOOKUP($B904,Ref_Acuerdos!$A:$E,5,FALSE()),"Sin FTA/PTA vigente ese año - arancel NMF"),"Sin FTA/PTA identificado - arancel NMF")</f>
        <v>Sin FTA/PTA identificado - arancel NMF</v>
      </c>
    </row>
    <row r="905" customFormat="false" ht="15" hidden="false" customHeight="false" outlineLevel="0" collapsed="false">
      <c r="A905" s="2" t="n">
        <v>2023</v>
      </c>
      <c r="B905" s="2" t="s">
        <v>26</v>
      </c>
      <c r="C905" s="4" t="str">
        <f aca="false">IFERROR(VLOOKUP($B905,Ref_Continente!$A:$B,2,FALSE()),"Sin clasificar")</f>
        <v>South America</v>
      </c>
      <c r="D905" s="5" t="n">
        <v>450105</v>
      </c>
      <c r="E905" s="6" t="n">
        <v>0</v>
      </c>
      <c r="F905" s="6" t="n">
        <v>2600</v>
      </c>
      <c r="G905" s="5" t="n">
        <v>335518054097.64</v>
      </c>
      <c r="H905" s="4" t="n">
        <f aca="false">IFERROR(IF(AND(VLOOKUP($B905,Ref_Acuerdos!$A:$E,2,FALSE())="FTA",$A905&gt;=VLOOKUP($B905,Ref_Acuerdos!$A:$E,3,FALSE())),1,0),0)</f>
        <v>1</v>
      </c>
      <c r="I905" s="4" t="n">
        <f aca="false">IFERROR(IF(AND(VLOOKUP($B905,Ref_Acuerdos!$A:$E,2,FALSE())="PTA",$A905&gt;=VLOOKUP($B905,Ref_Acuerdos!$A:$E,3,FALSE())),1,0),0)</f>
        <v>0</v>
      </c>
      <c r="J905" s="7" t="n">
        <f aca="false">IFERROR(IF($A905&gt;=VLOOKUP($B905,Ref_Acuerdos!$A:$E,3,FALSE()),VLOOKUP($B905,Ref_Acuerdos!$A:$E,4,FALSE()),""),"")</f>
        <v>0</v>
      </c>
      <c r="K905" s="4" t="str">
        <f aca="false">IFERROR(IF($A905&gt;=VLOOKUP($B905,Ref_Acuerdos!$A:$E,3,FALSE()),VLOOKUP($B905,Ref_Acuerdos!$A:$E,5,FALSE()),"Sin FTA/PTA vigente ese año - arancel NMF"),"Sin FTA/PTA identificado - arancel NMF")</f>
        <v>Ecuador-Chile ACE 65, vigente desde 2010</v>
      </c>
    </row>
    <row r="906" customFormat="false" ht="15" hidden="false" customHeight="false" outlineLevel="0" collapsed="false">
      <c r="A906" s="2" t="n">
        <v>2023</v>
      </c>
      <c r="B906" s="2" t="s">
        <v>113</v>
      </c>
      <c r="C906" s="4" t="str">
        <f aca="false">IFERROR(VLOOKUP($B906,Ref_Continente!$A:$B,2,FALSE()),"Sin clasificar")</f>
        <v>Europe</v>
      </c>
      <c r="D906" s="5" t="n">
        <v>325076</v>
      </c>
      <c r="E906" s="6" t="n">
        <v>51354.7</v>
      </c>
      <c r="F906" s="6" t="n">
        <v>11600</v>
      </c>
      <c r="G906" s="5" t="n">
        <v>1141242864657.45</v>
      </c>
      <c r="H906" s="4" t="n">
        <f aca="false">IFERROR(IF(AND(VLOOKUP($B906,Ref_Acuerdos!$A:$E,2,FALSE())="FTA",$A906&gt;=VLOOKUP($B906,Ref_Acuerdos!$A:$E,3,FALSE())),1,0),0)</f>
        <v>0</v>
      </c>
      <c r="I906" s="4" t="n">
        <f aca="false">IFERROR(IF(AND(VLOOKUP($B906,Ref_Acuerdos!$A:$E,2,FALSE())="PTA",$A906&gt;=VLOOKUP($B906,Ref_Acuerdos!$A:$E,3,FALSE())),1,0),0)</f>
        <v>0</v>
      </c>
      <c r="J906" s="7" t="str">
        <f aca="false">IFERROR(IF($A906&gt;=VLOOKUP($B906,Ref_Acuerdos!$A:$E,3,FALSE()),VLOOKUP($B906,Ref_Acuerdos!$A:$E,4,FALSE()),""),"")</f>
        <v/>
      </c>
      <c r="K906" s="4" t="str">
        <f aca="false">IFERROR(IF($A906&gt;=VLOOKUP($B906,Ref_Acuerdos!$A:$E,3,FALSE()),VLOOKUP($B906,Ref_Acuerdos!$A:$E,5,FALSE()),"Sin FTA/PTA vigente ese año - arancel NMF"),"Sin FTA/PTA identificado - arancel NMF")</f>
        <v>Sin FTA/PTA identificado - arancel NMF</v>
      </c>
    </row>
    <row r="907" customFormat="false" ht="15" hidden="false" customHeight="false" outlineLevel="0" collapsed="false">
      <c r="A907" s="2" t="n">
        <v>2023</v>
      </c>
      <c r="B907" s="2" t="s">
        <v>12</v>
      </c>
      <c r="C907" s="4" t="str">
        <f aca="false">IFERROR(VLOOKUP($B907,Ref_Continente!$A:$B,2,FALSE()),"Sin clasificar")</f>
        <v>Oceania</v>
      </c>
      <c r="D907" s="5" t="n">
        <v>268258</v>
      </c>
      <c r="E907" s="6" t="n">
        <v>42376.1</v>
      </c>
      <c r="F907" s="6" t="n">
        <v>14000</v>
      </c>
      <c r="G907" s="5" t="n">
        <v>1734451264655.6</v>
      </c>
      <c r="H907" s="4" t="n">
        <f aca="false">IFERROR(IF(AND(VLOOKUP($B907,Ref_Acuerdos!$A:$E,2,FALSE())="FTA",$A907&gt;=VLOOKUP($B907,Ref_Acuerdos!$A:$E,3,FALSE())),1,0),0)</f>
        <v>0</v>
      </c>
      <c r="I907" s="4" t="n">
        <f aca="false">IFERROR(IF(AND(VLOOKUP($B907,Ref_Acuerdos!$A:$E,2,FALSE())="PTA",$A907&gt;=VLOOKUP($B907,Ref_Acuerdos!$A:$E,3,FALSE())),1,0),0)</f>
        <v>0</v>
      </c>
      <c r="J907" s="7" t="str">
        <f aca="false">IFERROR(IF($A907&gt;=VLOOKUP($B907,Ref_Acuerdos!$A:$E,3,FALSE()),VLOOKUP($B907,Ref_Acuerdos!$A:$E,4,FALSE()),""),"")</f>
        <v/>
      </c>
      <c r="K907" s="4" t="str">
        <f aca="false">IFERROR(IF($A907&gt;=VLOOKUP($B907,Ref_Acuerdos!$A:$E,3,FALSE()),VLOOKUP($B907,Ref_Acuerdos!$A:$E,5,FALSE()),"Sin FTA/PTA vigente ese año - arancel NMF"),"Sin FTA/PTA identificado - arancel NMF")</f>
        <v>Sin FTA/PTA identificado - arancel NMF</v>
      </c>
    </row>
    <row r="908" customFormat="false" ht="15" hidden="false" customHeight="false" outlineLevel="0" collapsed="false">
      <c r="A908" s="2" t="n">
        <v>2023</v>
      </c>
      <c r="B908" s="2" t="s">
        <v>105</v>
      </c>
      <c r="C908" s="4" t="str">
        <f aca="false">IFERROR(VLOOKUP($B908,Ref_Continente!$A:$B,2,FALSE()),"Sin clasificar")</f>
        <v>Europe</v>
      </c>
      <c r="D908" s="5" t="n">
        <v>215179</v>
      </c>
      <c r="E908" s="6" t="n">
        <v>24385.5</v>
      </c>
      <c r="F908" s="6" t="n">
        <v>8700</v>
      </c>
      <c r="G908" s="5" t="n">
        <v>1619481980719.64</v>
      </c>
      <c r="H908" s="4" t="n">
        <f aca="false">IFERROR(IF(AND(VLOOKUP($B908,Ref_Acuerdos!$A:$E,2,FALSE())="FTA",$A908&gt;=VLOOKUP($B908,Ref_Acuerdos!$A:$E,3,FALSE())),1,0),0)</f>
        <v>1</v>
      </c>
      <c r="I908" s="4" t="n">
        <f aca="false">IFERROR(IF(AND(VLOOKUP($B908,Ref_Acuerdos!$A:$E,2,FALSE())="PTA",$A908&gt;=VLOOKUP($B908,Ref_Acuerdos!$A:$E,3,FALSE())),1,0),0)</f>
        <v>0</v>
      </c>
      <c r="J908" s="7" t="n">
        <f aca="false">IFERROR(IF($A908&gt;=VLOOKUP($B908,Ref_Acuerdos!$A:$E,3,FALSE()),VLOOKUP($B908,Ref_Acuerdos!$A:$E,4,FALSE()),""),"")</f>
        <v>0</v>
      </c>
      <c r="K908" s="4" t="str">
        <f aca="false">IFERROR(IF($A908&gt;=VLOOKUP($B908,Ref_Acuerdos!$A:$E,3,FALSE()),VLOOKUP($B908,Ref_Acuerdos!$A:$E,5,FALSE()),"Sin FTA/PTA vigente ese año - arancel NMF"),"Sin FTA/PTA identificado - arancel NMF")</f>
        <v>UE-Ecuador Acuerdo Multipartes, vigente desde ene-2017</v>
      </c>
    </row>
    <row r="909" customFormat="false" ht="15" hidden="false" customHeight="false" outlineLevel="0" collapsed="false">
      <c r="A909" s="2" t="n">
        <v>2023</v>
      </c>
      <c r="B909" s="2" t="s">
        <v>109</v>
      </c>
      <c r="C909" s="4" t="str">
        <f aca="false">IFERROR(VLOOKUP($B909,Ref_Continente!$A:$B,2,FALSE()),"Sin clasificar")</f>
        <v>Asia</v>
      </c>
      <c r="D909" s="5" t="n">
        <v>213685</v>
      </c>
      <c r="E909" s="6" t="n">
        <v>33673.3</v>
      </c>
      <c r="F909" s="6" t="n">
        <v>14300</v>
      </c>
      <c r="G909" s="5" t="n">
        <v>12244169292.8</v>
      </c>
      <c r="H909" s="4" t="n">
        <f aca="false">IFERROR(IF(AND(VLOOKUP($B909,Ref_Acuerdos!$A:$E,2,FALSE())="FTA",$A909&gt;=VLOOKUP($B909,Ref_Acuerdos!$A:$E,3,FALSE())),1,0),0)</f>
        <v>0</v>
      </c>
      <c r="I909" s="4" t="n">
        <f aca="false">IFERROR(IF(AND(VLOOKUP($B909,Ref_Acuerdos!$A:$E,2,FALSE())="PTA",$A909&gt;=VLOOKUP($B909,Ref_Acuerdos!$A:$E,3,FALSE())),1,0),0)</f>
        <v>0</v>
      </c>
      <c r="J909" s="7" t="str">
        <f aca="false">IFERROR(IF($A909&gt;=VLOOKUP($B909,Ref_Acuerdos!$A:$E,3,FALSE()),VLOOKUP($B909,Ref_Acuerdos!$A:$E,4,FALSE()),""),"")</f>
        <v/>
      </c>
      <c r="K909" s="4" t="str">
        <f aca="false">IFERROR(IF($A909&gt;=VLOOKUP($B909,Ref_Acuerdos!$A:$E,3,FALSE()),VLOOKUP($B909,Ref_Acuerdos!$A:$E,5,FALSE()),"Sin FTA/PTA vigente ese año - arancel NMF"),"Sin FTA/PTA identificado - arancel NMF")</f>
        <v>Sin FTA/PTA identificado - arancel NMF</v>
      </c>
    </row>
    <row r="910" customFormat="false" ht="15" hidden="false" customHeight="false" outlineLevel="0" collapsed="false">
      <c r="A910" s="2" t="n">
        <v>2023</v>
      </c>
      <c r="B910" s="2" t="s">
        <v>88</v>
      </c>
      <c r="C910" s="4" t="str">
        <f aca="false">IFERROR(VLOOKUP($B910,Ref_Continente!$A:$B,2,FALSE()),"Sin clasificar")</f>
        <v>South America</v>
      </c>
      <c r="D910" s="5" t="n">
        <v>172360</v>
      </c>
      <c r="E910" s="6" t="n">
        <v>3153.1</v>
      </c>
      <c r="F910" s="6" t="n">
        <v>1320</v>
      </c>
      <c r="G910" s="5" t="n">
        <v>266958720837.99</v>
      </c>
      <c r="H910" s="4" t="n">
        <f aca="false">IFERROR(IF(AND(VLOOKUP($B910,Ref_Acuerdos!$A:$E,2,FALSE())="FTA",$A910&gt;=VLOOKUP($B910,Ref_Acuerdos!$A:$E,3,FALSE())),1,0),0)</f>
        <v>0</v>
      </c>
      <c r="I910" s="4" t="n">
        <f aca="false">IFERROR(IF(AND(VLOOKUP($B910,Ref_Acuerdos!$A:$E,2,FALSE())="PTA",$A910&gt;=VLOOKUP($B910,Ref_Acuerdos!$A:$E,3,FALSE())),1,0),0)</f>
        <v>1</v>
      </c>
      <c r="J910" s="7" t="n">
        <f aca="false">IFERROR(IF($A910&gt;=VLOOKUP($B910,Ref_Acuerdos!$A:$E,3,FALSE()),VLOOKUP($B910,Ref_Acuerdos!$A:$E,4,FALSE()),""),"")</f>
        <v>0</v>
      </c>
      <c r="K910" s="4" t="str">
        <f aca="false">IFERROR(IF($A910&gt;=VLOOKUP($B910,Ref_Acuerdos!$A:$E,3,FALSE()),VLOOKUP($B910,Ref_Acuerdos!$A:$E,5,FALSE()),"Sin FTA/PTA vigente ese año - arancel NMF"),"Sin FTA/PTA identificado - arancel NMF")</f>
        <v>Comunidad Andina (CAN) - libre comercio intracomunitario</v>
      </c>
    </row>
    <row r="911" customFormat="false" ht="15" hidden="false" customHeight="false" outlineLevel="0" collapsed="false">
      <c r="A911" s="2" t="n">
        <v>2023</v>
      </c>
      <c r="B911" s="2" t="s">
        <v>16</v>
      </c>
      <c r="C911" s="4" t="str">
        <f aca="false">IFERROR(VLOOKUP($B911,Ref_Continente!$A:$B,2,FALSE()),"Sin clasificar")</f>
        <v>Asia</v>
      </c>
      <c r="D911" s="5" t="n">
        <v>114039</v>
      </c>
      <c r="E911" s="6" t="n">
        <v>17792.9</v>
      </c>
      <c r="F911" s="6" t="n">
        <v>13100</v>
      </c>
      <c r="G911" s="5" t="n">
        <v>72428470588.24</v>
      </c>
      <c r="H911" s="4" t="n">
        <f aca="false">IFERROR(IF(AND(VLOOKUP($B911,Ref_Acuerdos!$A:$E,2,FALSE())="FTA",$A911&gt;=VLOOKUP($B911,Ref_Acuerdos!$A:$E,3,FALSE())),1,0),0)</f>
        <v>0</v>
      </c>
      <c r="I911" s="4" t="n">
        <f aca="false">IFERROR(IF(AND(VLOOKUP($B911,Ref_Acuerdos!$A:$E,2,FALSE())="PTA",$A911&gt;=VLOOKUP($B911,Ref_Acuerdos!$A:$E,3,FALSE())),1,0),0)</f>
        <v>0</v>
      </c>
      <c r="J911" s="7" t="str">
        <f aca="false">IFERROR(IF($A911&gt;=VLOOKUP($B911,Ref_Acuerdos!$A:$E,3,FALSE()),VLOOKUP($B911,Ref_Acuerdos!$A:$E,4,FALSE()),""),"")</f>
        <v/>
      </c>
      <c r="K911" s="4" t="str">
        <f aca="false">IFERROR(IF($A911&gt;=VLOOKUP($B911,Ref_Acuerdos!$A:$E,3,FALSE()),VLOOKUP($B911,Ref_Acuerdos!$A:$E,5,FALSE()),"Sin FTA/PTA vigente ese año - arancel NMF"),"Sin FTA/PTA identificado - arancel NMF")</f>
        <v>Sin FTA/PTA identificado - arancel NMF</v>
      </c>
    </row>
    <row r="912" customFormat="false" ht="15" hidden="false" customHeight="false" outlineLevel="0" collapsed="false">
      <c r="A912" s="2" t="n">
        <v>2023</v>
      </c>
      <c r="B912" s="2" t="s">
        <v>25</v>
      </c>
      <c r="C912" s="4" t="str">
        <f aca="false">IFERROR(VLOOKUP($B912,Ref_Continente!$A:$B,2,FALSE()),"Sin clasificar")</f>
        <v>North America</v>
      </c>
      <c r="D912" s="5" t="n">
        <v>98710</v>
      </c>
      <c r="E912" s="6" t="n">
        <v>15583</v>
      </c>
      <c r="F912" s="6" t="n">
        <v>5900</v>
      </c>
      <c r="G912" s="5" t="n">
        <v>2173339670064.33</v>
      </c>
      <c r="H912" s="4" t="n">
        <f aca="false">IFERROR(IF(AND(VLOOKUP($B912,Ref_Acuerdos!$A:$E,2,FALSE())="FTA",$A912&gt;=VLOOKUP($B912,Ref_Acuerdos!$A:$E,3,FALSE())),1,0),0)</f>
        <v>0</v>
      </c>
      <c r="I912" s="4" t="n">
        <f aca="false">IFERROR(IF(AND(VLOOKUP($B912,Ref_Acuerdos!$A:$E,2,FALSE())="PTA",$A912&gt;=VLOOKUP($B912,Ref_Acuerdos!$A:$E,3,FALSE())),1,0),0)</f>
        <v>0</v>
      </c>
      <c r="J912" s="7" t="str">
        <f aca="false">IFERROR(IF($A912&gt;=VLOOKUP($B912,Ref_Acuerdos!$A:$E,3,FALSE()),VLOOKUP($B912,Ref_Acuerdos!$A:$E,4,FALSE()),""),"")</f>
        <v/>
      </c>
      <c r="K912" s="4" t="str">
        <f aca="false">IFERROR(IF($A912&gt;=VLOOKUP($B912,Ref_Acuerdos!$A:$E,3,FALSE()),VLOOKUP($B912,Ref_Acuerdos!$A:$E,5,FALSE()),"Sin FTA/PTA vigente ese año - arancel NMF"),"Sin FTA/PTA identificado - arancel NMF")</f>
        <v>Sin FTA/PTA identificado - arancel NMF</v>
      </c>
    </row>
    <row r="913" customFormat="false" ht="15" hidden="false" customHeight="false" outlineLevel="0" collapsed="false">
      <c r="A913" s="2" t="n">
        <v>2023</v>
      </c>
      <c r="B913" s="2" t="s">
        <v>75</v>
      </c>
      <c r="C913" s="4" t="str">
        <f aca="false">IFERROR(VLOOKUP($B913,Ref_Continente!$A:$B,2,FALSE()),"Sin clasificar")</f>
        <v>Europe</v>
      </c>
      <c r="D913" s="5" t="n">
        <v>90000</v>
      </c>
      <c r="E913" s="6" t="n">
        <v>0</v>
      </c>
      <c r="F913" s="6" t="n">
        <v>10700</v>
      </c>
      <c r="G913" s="5" t="n">
        <v>7644389159.84</v>
      </c>
      <c r="H913" s="4" t="n">
        <f aca="false">IFERROR(IF(AND(VLOOKUP($B913,Ref_Acuerdos!$A:$E,2,FALSE())="FTA",$A913&gt;=VLOOKUP($B913,Ref_Acuerdos!$A:$E,3,FALSE())),1,0),0)</f>
        <v>0</v>
      </c>
      <c r="I913" s="4" t="n">
        <f aca="false">IFERROR(IF(AND(VLOOKUP($B913,Ref_Acuerdos!$A:$E,2,FALSE())="PTA",$A913&gt;=VLOOKUP($B913,Ref_Acuerdos!$A:$E,3,FALSE())),1,0),0)</f>
        <v>0</v>
      </c>
      <c r="J913" s="7" t="str">
        <f aca="false">IFERROR(IF($A913&gt;=VLOOKUP($B913,Ref_Acuerdos!$A:$E,3,FALSE()),VLOOKUP($B913,Ref_Acuerdos!$A:$E,4,FALSE()),""),"")</f>
        <v/>
      </c>
      <c r="K913" s="4" t="str">
        <f aca="false">IFERROR(IF($A913&gt;=VLOOKUP($B913,Ref_Acuerdos!$A:$E,3,FALSE()),VLOOKUP($B913,Ref_Acuerdos!$A:$E,5,FALSE()),"Sin FTA/PTA vigente ese año - arancel NMF"),"Sin FTA/PTA identificado - arancel NMF")</f>
        <v>Sin FTA/PTA identificado - arancel NMF</v>
      </c>
    </row>
    <row r="914" customFormat="false" ht="15" hidden="false" customHeight="false" outlineLevel="0" collapsed="false">
      <c r="A914" s="2" t="n">
        <v>2023</v>
      </c>
      <c r="B914" s="2" t="s">
        <v>95</v>
      </c>
      <c r="C914" s="4" t="str">
        <f aca="false">IFERROR(VLOOKUP($B914,Ref_Continente!$A:$B,2,FALSE()),"Sin clasificar")</f>
        <v>Europe</v>
      </c>
      <c r="D914" s="5" t="n">
        <v>75768</v>
      </c>
      <c r="E914" s="6" t="n">
        <v>0</v>
      </c>
      <c r="F914" s="6" t="n">
        <v>11300</v>
      </c>
      <c r="G914" s="5" t="n">
        <v>347757995758.91</v>
      </c>
      <c r="H914" s="4" t="n">
        <f aca="false">IFERROR(IF(AND(VLOOKUP($B914,Ref_Acuerdos!$A:$E,2,FALSE())="FTA",$A914&gt;=VLOOKUP($B914,Ref_Acuerdos!$A:$E,3,FALSE())),1,0),0)</f>
        <v>1</v>
      </c>
      <c r="I914" s="4" t="n">
        <f aca="false">IFERROR(IF(AND(VLOOKUP($B914,Ref_Acuerdos!$A:$E,2,FALSE())="PTA",$A914&gt;=VLOOKUP($B914,Ref_Acuerdos!$A:$E,3,FALSE())),1,0),0)</f>
        <v>0</v>
      </c>
      <c r="J914" s="7" t="n">
        <f aca="false">IFERROR(IF($A914&gt;=VLOOKUP($B914,Ref_Acuerdos!$A:$E,3,FALSE()),VLOOKUP($B914,Ref_Acuerdos!$A:$E,4,FALSE()),""),"")</f>
        <v>0</v>
      </c>
      <c r="K914" s="4" t="str">
        <f aca="false">IFERROR(IF($A914&gt;=VLOOKUP($B914,Ref_Acuerdos!$A:$E,3,FALSE()),VLOOKUP($B914,Ref_Acuerdos!$A:$E,5,FALSE()),"Sin FTA/PTA vigente ese año - arancel NMF"),"Sin FTA/PTA identificado - arancel NMF")</f>
        <v>UE-Ecuador Acuerdo Multipartes, vigente desde ene-2017</v>
      </c>
    </row>
    <row r="915" customFormat="false" ht="15" hidden="false" customHeight="false" outlineLevel="0" collapsed="false">
      <c r="A915" s="2" t="n">
        <v>2023</v>
      </c>
      <c r="B915" s="2" t="s">
        <v>45</v>
      </c>
      <c r="C915" s="4" t="str">
        <f aca="false">IFERROR(VLOOKUP($B915,Ref_Continente!$A:$B,2,FALSE()),"Sin clasificar")</f>
        <v>Europe</v>
      </c>
      <c r="D915" s="5" t="n">
        <v>67928</v>
      </c>
      <c r="E915" s="6" t="n">
        <v>10718.7</v>
      </c>
      <c r="F915" s="6" t="n">
        <v>9650</v>
      </c>
      <c r="G915" s="5" t="n">
        <v>4562207532490.28</v>
      </c>
      <c r="H915" s="4" t="n">
        <f aca="false">IFERROR(IF(AND(VLOOKUP($B915,Ref_Acuerdos!$A:$E,2,FALSE())="FTA",$A915&gt;=VLOOKUP($B915,Ref_Acuerdos!$A:$E,3,FALSE())),1,0),0)</f>
        <v>1</v>
      </c>
      <c r="I915" s="4" t="n">
        <f aca="false">IFERROR(IF(AND(VLOOKUP($B915,Ref_Acuerdos!$A:$E,2,FALSE())="PTA",$A915&gt;=VLOOKUP($B915,Ref_Acuerdos!$A:$E,3,FALSE())),1,0),0)</f>
        <v>0</v>
      </c>
      <c r="J915" s="7" t="n">
        <f aca="false">IFERROR(IF($A915&gt;=VLOOKUP($B915,Ref_Acuerdos!$A:$E,3,FALSE()),VLOOKUP($B915,Ref_Acuerdos!$A:$E,4,FALSE()),""),"")</f>
        <v>0</v>
      </c>
      <c r="K915" s="4" t="str">
        <f aca="false">IFERROR(IF($A915&gt;=VLOOKUP($B915,Ref_Acuerdos!$A:$E,3,FALSE()),VLOOKUP($B915,Ref_Acuerdos!$A:$E,5,FALSE()),"Sin FTA/PTA vigente ese año - arancel NMF"),"Sin FTA/PTA identificado - arancel NMF")</f>
        <v>UE-Ecuador Acuerdo Multipartes, vigente desde ene-2017</v>
      </c>
    </row>
    <row r="916" customFormat="false" ht="15" hidden="false" customHeight="false" outlineLevel="0" collapsed="false">
      <c r="A916" s="2" t="n">
        <v>2023</v>
      </c>
      <c r="B916" s="2" t="s">
        <v>59</v>
      </c>
      <c r="C916" s="4" t="str">
        <f aca="false">IFERROR(VLOOKUP($B916,Ref_Continente!$A:$B,2,FALSE()),"Sin clasificar")</f>
        <v>Europe</v>
      </c>
      <c r="D916" s="5" t="n">
        <v>61659</v>
      </c>
      <c r="E916" s="6" t="n">
        <v>9586.3</v>
      </c>
      <c r="F916" s="6" t="n">
        <v>10100</v>
      </c>
      <c r="G916" s="5" t="n">
        <v>2316727999333.18</v>
      </c>
      <c r="H916" s="4" t="n">
        <f aca="false">IFERROR(IF(AND(VLOOKUP($B916,Ref_Acuerdos!$A:$E,2,FALSE())="FTA",$A916&gt;=VLOOKUP($B916,Ref_Acuerdos!$A:$E,3,FALSE())),1,0),0)</f>
        <v>1</v>
      </c>
      <c r="I916" s="4" t="n">
        <f aca="false">IFERROR(IF(AND(VLOOKUP($B916,Ref_Acuerdos!$A:$E,2,FALSE())="PTA",$A916&gt;=VLOOKUP($B916,Ref_Acuerdos!$A:$E,3,FALSE())),1,0),0)</f>
        <v>0</v>
      </c>
      <c r="J916" s="7" t="n">
        <f aca="false">IFERROR(IF($A916&gt;=VLOOKUP($B916,Ref_Acuerdos!$A:$E,3,FALSE()),VLOOKUP($B916,Ref_Acuerdos!$A:$E,4,FALSE()),""),"")</f>
        <v>0</v>
      </c>
      <c r="K916" s="4" t="str">
        <f aca="false">IFERROR(IF($A916&gt;=VLOOKUP($B916,Ref_Acuerdos!$A:$E,3,FALSE()),VLOOKUP($B916,Ref_Acuerdos!$A:$E,5,FALSE()),"Sin FTA/PTA vigente ese año - arancel NMF"),"Sin FTA/PTA identificado - arancel NMF")</f>
        <v>UE-Ecuador Acuerdo Multipartes, vigente desde ene-2017</v>
      </c>
    </row>
    <row r="917" customFormat="false" ht="15" hidden="false" customHeight="false" outlineLevel="0" collapsed="false">
      <c r="A917" s="2" t="n">
        <v>2023</v>
      </c>
      <c r="B917" s="2" t="s">
        <v>80</v>
      </c>
      <c r="C917" s="4" t="str">
        <f aca="false">IFERROR(VLOOKUP($B917,Ref_Continente!$A:$B,2,FALSE()),"Sin clasificar")</f>
        <v>North America</v>
      </c>
      <c r="D917" s="5" t="n">
        <v>60934</v>
      </c>
      <c r="E917" s="6" t="n">
        <v>9613.4</v>
      </c>
      <c r="F917" s="6" t="n">
        <v>1730</v>
      </c>
      <c r="G917" s="5" t="n">
        <v>17805842283.87</v>
      </c>
      <c r="H917" s="4" t="n">
        <f aca="false">IFERROR(IF(AND(VLOOKUP($B917,Ref_Acuerdos!$A:$E,2,FALSE())="FTA",$A917&gt;=VLOOKUP($B917,Ref_Acuerdos!$A:$E,3,FALSE())),1,0),0)</f>
        <v>0</v>
      </c>
      <c r="I917" s="4" t="n">
        <f aca="false">IFERROR(IF(AND(VLOOKUP($B917,Ref_Acuerdos!$A:$E,2,FALSE())="PTA",$A917&gt;=VLOOKUP($B917,Ref_Acuerdos!$A:$E,3,FALSE())),1,0),0)</f>
        <v>1</v>
      </c>
      <c r="J917" s="7" t="n">
        <f aca="false">IFERROR(IF($A917&gt;=VLOOKUP($B917,Ref_Acuerdos!$A:$E,3,FALSE()),VLOOKUP($B917,Ref_Acuerdos!$A:$E,4,FALSE()),""),"")</f>
        <v>10</v>
      </c>
      <c r="K917" s="4" t="str">
        <f aca="false">IFERROR(IF($A917&gt;=VLOOKUP($B917,Ref_Acuerdos!$A:$E,3,FALSE()),VLOOKUP($B917,Ref_Acuerdos!$A:$E,5,FALSE()),"Sin FTA/PTA vigente ese año - arancel NMF"),"Sin FTA/PTA identificado - arancel NMF")</f>
        <v>ALADI - Acuerdo de Alcance Parcial (preferencia limitada, tarifa referencial)</v>
      </c>
    </row>
    <row r="918" customFormat="false" ht="15" hidden="false" customHeight="false" outlineLevel="0" collapsed="false">
      <c r="A918" s="2" t="n">
        <v>2023</v>
      </c>
      <c r="B918" s="2" t="s">
        <v>118</v>
      </c>
      <c r="C918" s="4" t="str">
        <f aca="false">IFERROR(VLOOKUP($B918,Ref_Continente!$A:$B,2,FALSE()),"Sin clasificar")</f>
        <v>South America</v>
      </c>
      <c r="D918" s="5" t="n">
        <v>57160</v>
      </c>
      <c r="E918" s="6" t="n">
        <v>0</v>
      </c>
      <c r="F918" s="6" t="n">
        <v>4650</v>
      </c>
      <c r="G918" s="5" t="n">
        <v>77991666837.74</v>
      </c>
      <c r="H918" s="4" t="n">
        <f aca="false">IFERROR(IF(AND(VLOOKUP($B918,Ref_Acuerdos!$A:$E,2,FALSE())="FTA",$A918&gt;=VLOOKUP($B918,Ref_Acuerdos!$A:$E,3,FALSE())),1,0),0)</f>
        <v>0</v>
      </c>
      <c r="I918" s="4" t="n">
        <f aca="false">IFERROR(IF(AND(VLOOKUP($B918,Ref_Acuerdos!$A:$E,2,FALSE())="PTA",$A918&gt;=VLOOKUP($B918,Ref_Acuerdos!$A:$E,3,FALSE())),1,0),0)</f>
        <v>1</v>
      </c>
      <c r="J918" s="7" t="n">
        <f aca="false">IFERROR(IF($A918&gt;=VLOOKUP($B918,Ref_Acuerdos!$A:$E,3,FALSE()),VLOOKUP($B918,Ref_Acuerdos!$A:$E,4,FALSE()),""),"")</f>
        <v>5</v>
      </c>
      <c r="K918" s="4" t="str">
        <f aca="false">IFERROR(IF($A918&gt;=VLOOKUP($B918,Ref_Acuerdos!$A:$E,3,FALSE()),VLOOKUP($B918,Ref_Acuerdos!$A:$E,5,FALSE()),"Sin FTA/PTA vigente ese año - arancel NMF"),"Sin FTA/PTA identificado - arancel NMF")</f>
        <v>Ecuador-Mercosur ACE 59 - preferencias parciales (tarifa referencial)</v>
      </c>
    </row>
    <row r="919" customFormat="false" ht="15" hidden="false" customHeight="false" outlineLevel="0" collapsed="false">
      <c r="A919" s="2" t="n">
        <v>2023</v>
      </c>
      <c r="B919" s="2" t="s">
        <v>87</v>
      </c>
      <c r="C919" s="4" t="str">
        <f aca="false">IFERROR(VLOOKUP($B919,Ref_Continente!$A:$B,2,FALSE()),"Sin clasificar")</f>
        <v>South America</v>
      </c>
      <c r="D919" s="5" t="n">
        <v>51275</v>
      </c>
      <c r="E919" s="6" t="n">
        <v>8087.1</v>
      </c>
      <c r="F919" s="6" t="n">
        <v>3600</v>
      </c>
      <c r="G919" s="5" t="n">
        <v>43118053174.55</v>
      </c>
      <c r="H919" s="4" t="n">
        <f aca="false">IFERROR(IF(AND(VLOOKUP($B919,Ref_Acuerdos!$A:$E,2,FALSE())="FTA",$A919&gt;=VLOOKUP($B919,Ref_Acuerdos!$A:$E,3,FALSE())),1,0),0)</f>
        <v>0</v>
      </c>
      <c r="I919" s="4" t="n">
        <f aca="false">IFERROR(IF(AND(VLOOKUP($B919,Ref_Acuerdos!$A:$E,2,FALSE())="PTA",$A919&gt;=VLOOKUP($B919,Ref_Acuerdos!$A:$E,3,FALSE())),1,0),0)</f>
        <v>1</v>
      </c>
      <c r="J919" s="7" t="n">
        <f aca="false">IFERROR(IF($A919&gt;=VLOOKUP($B919,Ref_Acuerdos!$A:$E,3,FALSE()),VLOOKUP($B919,Ref_Acuerdos!$A:$E,4,FALSE()),""),"")</f>
        <v>5</v>
      </c>
      <c r="K919" s="4" t="str">
        <f aca="false">IFERROR(IF($A919&gt;=VLOOKUP($B919,Ref_Acuerdos!$A:$E,3,FALSE()),VLOOKUP($B919,Ref_Acuerdos!$A:$E,5,FALSE()),"Sin FTA/PTA vigente ese año - arancel NMF"),"Sin FTA/PTA identificado - arancel NMF")</f>
        <v>Ecuador-Mercosur ACE 59 - preferencias parciales (tarifa referencial)</v>
      </c>
    </row>
    <row r="920" customFormat="false" ht="15" hidden="false" customHeight="false" outlineLevel="0" collapsed="false">
      <c r="A920" s="2" t="n">
        <v>2023</v>
      </c>
      <c r="B920" s="2" t="s">
        <v>94</v>
      </c>
      <c r="C920" s="4" t="str">
        <f aca="false">IFERROR(VLOOKUP($B920,Ref_Continente!$A:$B,2,FALSE()),"Sin clasificar")</f>
        <v>Europe</v>
      </c>
      <c r="D920" s="5" t="n">
        <v>48362</v>
      </c>
      <c r="E920" s="6" t="n">
        <v>7626.9</v>
      </c>
      <c r="F920" s="6" t="n">
        <v>11000</v>
      </c>
      <c r="G920" s="5" t="n">
        <v>16711906746.21</v>
      </c>
      <c r="H920" s="4" t="n">
        <f aca="false">IFERROR(IF(AND(VLOOKUP($B920,Ref_Acuerdos!$A:$E,2,FALSE())="FTA",$A920&gt;=VLOOKUP($B920,Ref_Acuerdos!$A:$E,3,FALSE())),1,0),0)</f>
        <v>0</v>
      </c>
      <c r="I920" s="4" t="n">
        <f aca="false">IFERROR(IF(AND(VLOOKUP($B920,Ref_Acuerdos!$A:$E,2,FALSE())="PTA",$A920&gt;=VLOOKUP($B920,Ref_Acuerdos!$A:$E,3,FALSE())),1,0),0)</f>
        <v>0</v>
      </c>
      <c r="J920" s="7" t="str">
        <f aca="false">IFERROR(IF($A920&gt;=VLOOKUP($B920,Ref_Acuerdos!$A:$E,3,FALSE()),VLOOKUP($B920,Ref_Acuerdos!$A:$E,4,FALSE()),""),"")</f>
        <v/>
      </c>
      <c r="K920" s="4" t="str">
        <f aca="false">IFERROR(IF($A920&gt;=VLOOKUP($B920,Ref_Acuerdos!$A:$E,3,FALSE()),VLOOKUP($B920,Ref_Acuerdos!$A:$E,5,FALSE()),"Sin FTA/PTA vigente ese año - arancel NMF"),"Sin FTA/PTA identificado - arancel NMF")</f>
        <v>Sin FTA/PTA identificado - arancel NMF</v>
      </c>
    </row>
    <row r="921" customFormat="false" ht="15" hidden="false" customHeight="false" outlineLevel="0" collapsed="false">
      <c r="A921" s="2" t="n">
        <v>2023</v>
      </c>
      <c r="B921" s="2" t="s">
        <v>116</v>
      </c>
      <c r="C921" s="4" t="str">
        <f aca="false">IFERROR(VLOOKUP($B921,Ref_Continente!$A:$B,2,FALSE()),"Sin clasificar")</f>
        <v>Asia</v>
      </c>
      <c r="D921" s="5" t="n">
        <v>45849</v>
      </c>
      <c r="E921" s="6" t="n">
        <v>7190.4</v>
      </c>
      <c r="F921" s="6" t="n">
        <v>14200</v>
      </c>
      <c r="G921" s="5" t="n">
        <v>522622191967.33</v>
      </c>
      <c r="H921" s="4" t="n">
        <f aca="false">IFERROR(IF(AND(VLOOKUP($B921,Ref_Acuerdos!$A:$E,2,FALSE())="FTA",$A921&gt;=VLOOKUP($B921,Ref_Acuerdos!$A:$E,3,FALSE())),1,0),0)</f>
        <v>0</v>
      </c>
      <c r="I921" s="4" t="n">
        <f aca="false">IFERROR(IF(AND(VLOOKUP($B921,Ref_Acuerdos!$A:$E,2,FALSE())="PTA",$A921&gt;=VLOOKUP($B921,Ref_Acuerdos!$A:$E,3,FALSE())),1,0),0)</f>
        <v>0</v>
      </c>
      <c r="J921" s="7" t="str">
        <f aca="false">IFERROR(IF($A921&gt;=VLOOKUP($B921,Ref_Acuerdos!$A:$E,3,FALSE()),VLOOKUP($B921,Ref_Acuerdos!$A:$E,4,FALSE()),""),"")</f>
        <v/>
      </c>
      <c r="K921" s="4" t="str">
        <f aca="false">IFERROR(IF($A921&gt;=VLOOKUP($B921,Ref_Acuerdos!$A:$E,3,FALSE()),VLOOKUP($B921,Ref_Acuerdos!$A:$E,5,FALSE()),"Sin FTA/PTA vigente ese año - arancel NMF"),"Sin FTA/PTA identificado - arancel NMF")</f>
        <v>Sin FTA/PTA identificado - arancel NMF</v>
      </c>
    </row>
    <row r="922" customFormat="false" ht="15" hidden="false" customHeight="false" outlineLevel="0" collapsed="false">
      <c r="A922" s="2" t="n">
        <v>2023</v>
      </c>
      <c r="B922" s="2" t="s">
        <v>90</v>
      </c>
      <c r="C922" s="4" t="str">
        <f aca="false">IFERROR(VLOOKUP($B922,Ref_Continente!$A:$B,2,FALSE()),"Sin clasificar")</f>
        <v>Europe</v>
      </c>
      <c r="D922" s="5" t="n">
        <v>43999</v>
      </c>
      <c r="E922" s="6" t="n">
        <v>6842.9</v>
      </c>
      <c r="F922" s="6" t="n">
        <v>10300</v>
      </c>
      <c r="G922" s="5" t="n">
        <v>812451193396.14</v>
      </c>
      <c r="H922" s="4" t="n">
        <f aca="false">IFERROR(IF(AND(VLOOKUP($B922,Ref_Acuerdos!$A:$E,2,FALSE())="FTA",$A922&gt;=VLOOKUP($B922,Ref_Acuerdos!$A:$E,3,FALSE())),1,0),0)</f>
        <v>1</v>
      </c>
      <c r="I922" s="4" t="n">
        <f aca="false">IFERROR(IF(AND(VLOOKUP($B922,Ref_Acuerdos!$A:$E,2,FALSE())="PTA",$A922&gt;=VLOOKUP($B922,Ref_Acuerdos!$A:$E,3,FALSE())),1,0),0)</f>
        <v>0</v>
      </c>
      <c r="J922" s="7" t="n">
        <f aca="false">IFERROR(IF($A922&gt;=VLOOKUP($B922,Ref_Acuerdos!$A:$E,3,FALSE()),VLOOKUP($B922,Ref_Acuerdos!$A:$E,4,FALSE()),""),"")</f>
        <v>0</v>
      </c>
      <c r="K922" s="4" t="str">
        <f aca="false">IFERROR(IF($A922&gt;=VLOOKUP($B922,Ref_Acuerdos!$A:$E,3,FALSE()),VLOOKUP($B922,Ref_Acuerdos!$A:$E,5,FALSE()),"Sin FTA/PTA vigente ese año - arancel NMF"),"Sin FTA/PTA identificado - arancel NMF")</f>
        <v>UE-Ecuador Acuerdo Multipartes, vigente desde ene-2017</v>
      </c>
    </row>
    <row r="923" customFormat="false" ht="15" hidden="false" customHeight="false" outlineLevel="0" collapsed="false">
      <c r="A923" s="2" t="n">
        <v>2023</v>
      </c>
      <c r="B923" s="2" t="s">
        <v>29</v>
      </c>
      <c r="C923" s="4" t="str">
        <f aca="false">IFERROR(VLOOKUP($B923,Ref_Continente!$A:$B,2,FALSE()),"Sin clasificar")</f>
        <v>South America</v>
      </c>
      <c r="D923" s="5" t="n">
        <v>39258</v>
      </c>
      <c r="E923" s="6" t="n">
        <v>6203.7</v>
      </c>
      <c r="F923" s="6" t="n">
        <v>720</v>
      </c>
      <c r="G923" s="5" t="n">
        <v>366291836137.92</v>
      </c>
      <c r="H923" s="4" t="n">
        <f aca="false">IFERROR(IF(AND(VLOOKUP($B923,Ref_Acuerdos!$A:$E,2,FALSE())="FTA",$A923&gt;=VLOOKUP($B923,Ref_Acuerdos!$A:$E,3,FALSE())),1,0),0)</f>
        <v>0</v>
      </c>
      <c r="I923" s="4" t="n">
        <f aca="false">IFERROR(IF(AND(VLOOKUP($B923,Ref_Acuerdos!$A:$E,2,FALSE())="PTA",$A923&gt;=VLOOKUP($B923,Ref_Acuerdos!$A:$E,3,FALSE())),1,0),0)</f>
        <v>1</v>
      </c>
      <c r="J923" s="7" t="n">
        <f aca="false">IFERROR(IF($A923&gt;=VLOOKUP($B923,Ref_Acuerdos!$A:$E,3,FALSE()),VLOOKUP($B923,Ref_Acuerdos!$A:$E,4,FALSE()),""),"")</f>
        <v>0</v>
      </c>
      <c r="K923" s="4" t="str">
        <f aca="false">IFERROR(IF($A923&gt;=VLOOKUP($B923,Ref_Acuerdos!$A:$E,3,FALSE()),VLOOKUP($B923,Ref_Acuerdos!$A:$E,5,FALSE()),"Sin FTA/PTA vigente ese año - arancel NMF"),"Sin FTA/PTA identificado - arancel NMF")</f>
        <v>Comunidad Andina (CAN) - libre comercio intracomunitario</v>
      </c>
    </row>
    <row r="924" customFormat="false" ht="15" hidden="false" customHeight="false" outlineLevel="0" collapsed="false">
      <c r="A924" s="2" t="n">
        <v>2023</v>
      </c>
      <c r="B924" s="2" t="s">
        <v>119</v>
      </c>
      <c r="C924" s="4" t="str">
        <f aca="false">IFERROR(VLOOKUP($B924,Ref_Continente!$A:$B,2,FALSE()),"Sin clasificar")</f>
        <v>Asia</v>
      </c>
      <c r="D924" s="5" t="n">
        <v>39095</v>
      </c>
      <c r="E924" s="6" t="n">
        <v>6052.3</v>
      </c>
      <c r="F924" s="6" t="n">
        <v>14400</v>
      </c>
      <c r="G924" s="5" t="n">
        <v>102641879248.76</v>
      </c>
      <c r="H924" s="4" t="n">
        <f aca="false">IFERROR(IF(AND(VLOOKUP($B924,Ref_Acuerdos!$A:$E,2,FALSE())="FTA",$A924&gt;=VLOOKUP($B924,Ref_Acuerdos!$A:$E,3,FALSE())),1,0),0)</f>
        <v>0</v>
      </c>
      <c r="I924" s="4" t="n">
        <f aca="false">IFERROR(IF(AND(VLOOKUP($B924,Ref_Acuerdos!$A:$E,2,FALSE())="PTA",$A924&gt;=VLOOKUP($B924,Ref_Acuerdos!$A:$E,3,FALSE())),1,0),0)</f>
        <v>0</v>
      </c>
      <c r="J924" s="7" t="str">
        <f aca="false">IFERROR(IF($A924&gt;=VLOOKUP($B924,Ref_Acuerdos!$A:$E,3,FALSE()),VLOOKUP($B924,Ref_Acuerdos!$A:$E,4,FALSE()),""),"")</f>
        <v/>
      </c>
      <c r="K924" s="4" t="str">
        <f aca="false">IFERROR(IF($A924&gt;=VLOOKUP($B924,Ref_Acuerdos!$A:$E,3,FALSE()),VLOOKUP($B924,Ref_Acuerdos!$A:$E,5,FALSE()),"Sin FTA/PTA vigente ese año - arancel NMF"),"Sin FTA/PTA identificado - arancel NMF")</f>
        <v>Sin FTA/PTA identificado - arancel NMF</v>
      </c>
    </row>
    <row r="925" customFormat="false" ht="15" hidden="false" customHeight="false" outlineLevel="0" collapsed="false">
      <c r="A925" s="2" t="n">
        <v>2023</v>
      </c>
      <c r="B925" s="2" t="s">
        <v>100</v>
      </c>
      <c r="C925" s="4" t="str">
        <f aca="false">IFERROR(VLOOKUP($B925,Ref_Continente!$A:$B,2,FALSE()),"Sin clasificar")</f>
        <v>Asia</v>
      </c>
      <c r="D925" s="5" t="n">
        <v>33500</v>
      </c>
      <c r="E925" s="6" t="n">
        <v>5191.7</v>
      </c>
      <c r="F925" s="6" t="n">
        <v>13800</v>
      </c>
      <c r="G925" s="5" t="n">
        <v>1218584533333.33</v>
      </c>
      <c r="H925" s="4" t="n">
        <f aca="false">IFERROR(IF(AND(VLOOKUP($B925,Ref_Acuerdos!$A:$E,2,FALSE())="FTA",$A925&gt;=VLOOKUP($B925,Ref_Acuerdos!$A:$E,3,FALSE())),1,0),0)</f>
        <v>0</v>
      </c>
      <c r="I925" s="4" t="n">
        <f aca="false">IFERROR(IF(AND(VLOOKUP($B925,Ref_Acuerdos!$A:$E,2,FALSE())="PTA",$A925&gt;=VLOOKUP($B925,Ref_Acuerdos!$A:$E,3,FALSE())),1,0),0)</f>
        <v>0</v>
      </c>
      <c r="J925" s="7" t="str">
        <f aca="false">IFERROR(IF($A925&gt;=VLOOKUP($B925,Ref_Acuerdos!$A:$E,3,FALSE()),VLOOKUP($B925,Ref_Acuerdos!$A:$E,4,FALSE()),""),"")</f>
        <v/>
      </c>
      <c r="K925" s="4" t="str">
        <f aca="false">IFERROR(IF($A925&gt;=VLOOKUP($B925,Ref_Acuerdos!$A:$E,3,FALSE()),VLOOKUP($B925,Ref_Acuerdos!$A:$E,5,FALSE()),"Sin FTA/PTA vigente ese año - arancel NMF"),"Sin FTA/PTA identificado - arancel NMF")</f>
        <v>Sin FTA/PTA identificado - arancel NMF</v>
      </c>
    </row>
    <row r="926" customFormat="false" ht="15" hidden="false" customHeight="false" outlineLevel="0" collapsed="false">
      <c r="A926" s="2" t="n">
        <v>2023</v>
      </c>
      <c r="B926" s="2" t="s">
        <v>92</v>
      </c>
      <c r="C926" s="4" t="str">
        <f aca="false">IFERROR(VLOOKUP($B926,Ref_Continente!$A:$B,2,FALSE()),"Sin clasificar")</f>
        <v>Asia</v>
      </c>
      <c r="D926" s="5" t="n">
        <v>33490</v>
      </c>
      <c r="E926" s="6" t="n">
        <v>5276.6</v>
      </c>
      <c r="F926" s="6" t="n">
        <v>14000</v>
      </c>
      <c r="G926" s="5" t="n">
        <v>217308516483.52</v>
      </c>
      <c r="H926" s="4" t="n">
        <f aca="false">IFERROR(IF(AND(VLOOKUP($B926,Ref_Acuerdos!$A:$E,2,FALSE())="FTA",$A926&gt;=VLOOKUP($B926,Ref_Acuerdos!$A:$E,3,FALSE())),1,0),0)</f>
        <v>0</v>
      </c>
      <c r="I926" s="4" t="n">
        <f aca="false">IFERROR(IF(AND(VLOOKUP($B926,Ref_Acuerdos!$A:$E,2,FALSE())="PTA",$A926&gt;=VLOOKUP($B926,Ref_Acuerdos!$A:$E,3,FALSE())),1,0),0)</f>
        <v>0</v>
      </c>
      <c r="J926" s="7" t="str">
        <f aca="false">IFERROR(IF($A926&gt;=VLOOKUP($B926,Ref_Acuerdos!$A:$E,3,FALSE()),VLOOKUP($B926,Ref_Acuerdos!$A:$E,4,FALSE()),""),"")</f>
        <v/>
      </c>
      <c r="K926" s="4" t="str">
        <f aca="false">IFERROR(IF($A926&gt;=VLOOKUP($B926,Ref_Acuerdos!$A:$E,3,FALSE()),VLOOKUP($B926,Ref_Acuerdos!$A:$E,5,FALSE()),"Sin FTA/PTA vigente ese año - arancel NMF"),"Sin FTA/PTA identificado - arancel NMF")</f>
        <v>Sin FTA/PTA identificado - arancel NMF</v>
      </c>
    </row>
    <row r="927" customFormat="false" ht="15" hidden="false" customHeight="false" outlineLevel="0" collapsed="false">
      <c r="A927" s="2" t="n">
        <v>2023</v>
      </c>
      <c r="B927" s="2" t="s">
        <v>96</v>
      </c>
      <c r="C927" s="4" t="str">
        <f aca="false">IFERROR(VLOOKUP($B927,Ref_Continente!$A:$B,2,FALSE()),"Sin clasificar")</f>
        <v>Europe</v>
      </c>
      <c r="D927" s="5" t="n">
        <v>31192</v>
      </c>
      <c r="E927" s="6" t="n">
        <v>0</v>
      </c>
      <c r="F927" s="6" t="n">
        <v>12000</v>
      </c>
      <c r="G927" s="5" t="n">
        <v>2071505725030.58</v>
      </c>
      <c r="H927" s="4" t="n">
        <f aca="false">IFERROR(IF(AND(VLOOKUP($B927,Ref_Acuerdos!$A:$E,2,FALSE())="FTA",$A927&gt;=VLOOKUP($B927,Ref_Acuerdos!$A:$E,3,FALSE())),1,0),0)</f>
        <v>0</v>
      </c>
      <c r="I927" s="4" t="n">
        <f aca="false">IFERROR(IF(AND(VLOOKUP($B927,Ref_Acuerdos!$A:$E,2,FALSE())="PTA",$A927&gt;=VLOOKUP($B927,Ref_Acuerdos!$A:$E,3,FALSE())),1,0),0)</f>
        <v>0</v>
      </c>
      <c r="J927" s="7" t="str">
        <f aca="false">IFERROR(IF($A927&gt;=VLOOKUP($B927,Ref_Acuerdos!$A:$E,3,FALSE()),VLOOKUP($B927,Ref_Acuerdos!$A:$E,4,FALSE()),""),"")</f>
        <v/>
      </c>
      <c r="K927" s="4" t="str">
        <f aca="false">IFERROR(IF($A927&gt;=VLOOKUP($B927,Ref_Acuerdos!$A:$E,3,FALSE()),VLOOKUP($B927,Ref_Acuerdos!$A:$E,5,FALSE()),"Sin FTA/PTA vigente ese año - arancel NMF"),"Sin FTA/PTA identificado - arancel NMF")</f>
        <v>Sin FTA/PTA identificado - arancel NMF</v>
      </c>
    </row>
    <row r="928" customFormat="false" ht="15" hidden="false" customHeight="false" outlineLevel="0" collapsed="false">
      <c r="A928" s="2" t="n">
        <v>2023</v>
      </c>
      <c r="B928" s="2" t="s">
        <v>44</v>
      </c>
      <c r="C928" s="4" t="str">
        <f aca="false">IFERROR(VLOOKUP($B928,Ref_Continente!$A:$B,2,FALSE()),"Sin clasificar")</f>
        <v>Asia</v>
      </c>
      <c r="D928" s="5" t="n">
        <v>30529</v>
      </c>
      <c r="E928" s="6" t="n">
        <v>0</v>
      </c>
      <c r="F928" s="6" t="n">
        <v>11600</v>
      </c>
      <c r="G928" s="5" t="n">
        <v>30777833600.65</v>
      </c>
      <c r="H928" s="4" t="n">
        <f aca="false">IFERROR(IF(AND(VLOOKUP($B928,Ref_Acuerdos!$A:$E,2,FALSE())="FTA",$A928&gt;=VLOOKUP($B928,Ref_Acuerdos!$A:$E,3,FALSE())),1,0),0)</f>
        <v>0</v>
      </c>
      <c r="I928" s="4" t="n">
        <f aca="false">IFERROR(IF(AND(VLOOKUP($B928,Ref_Acuerdos!$A:$E,2,FALSE())="PTA",$A928&gt;=VLOOKUP($B928,Ref_Acuerdos!$A:$E,3,FALSE())),1,0),0)</f>
        <v>0</v>
      </c>
      <c r="J928" s="7" t="str">
        <f aca="false">IFERROR(IF($A928&gt;=VLOOKUP($B928,Ref_Acuerdos!$A:$E,3,FALSE()),VLOOKUP($B928,Ref_Acuerdos!$A:$E,4,FALSE()),""),"")</f>
        <v/>
      </c>
      <c r="K928" s="4" t="str">
        <f aca="false">IFERROR(IF($A928&gt;=VLOOKUP($B928,Ref_Acuerdos!$A:$E,3,FALSE()),VLOOKUP($B928,Ref_Acuerdos!$A:$E,5,FALSE()),"Sin FTA/PTA vigente ese año - arancel NMF"),"Sin FTA/PTA identificado - arancel NMF")</f>
        <v>Sin FTA/PTA identificado - arancel NMF</v>
      </c>
    </row>
    <row r="929" customFormat="false" ht="15" hidden="false" customHeight="false" outlineLevel="0" collapsed="false">
      <c r="A929" s="2" t="n">
        <v>2023</v>
      </c>
      <c r="B929" s="2" t="s">
        <v>8</v>
      </c>
      <c r="C929" s="4" t="str">
        <f aca="false">IFERROR(VLOOKUP($B929,Ref_Continente!$A:$B,2,FALSE()),"Sin clasificar")</f>
        <v>Asia</v>
      </c>
      <c r="D929" s="5" t="n">
        <v>28845</v>
      </c>
      <c r="E929" s="6" t="n">
        <v>0</v>
      </c>
      <c r="F929" s="6" t="n">
        <v>11600</v>
      </c>
      <c r="G929" s="5" t="n">
        <v>24185982215.65</v>
      </c>
      <c r="H929" s="4" t="n">
        <f aca="false">IFERROR(IF(AND(VLOOKUP($B929,Ref_Acuerdos!$A:$E,2,FALSE())="FTA",$A929&gt;=VLOOKUP($B929,Ref_Acuerdos!$A:$E,3,FALSE())),1,0),0)</f>
        <v>0</v>
      </c>
      <c r="I929" s="4" t="n">
        <f aca="false">IFERROR(IF(AND(VLOOKUP($B929,Ref_Acuerdos!$A:$E,2,FALSE())="PTA",$A929&gt;=VLOOKUP($B929,Ref_Acuerdos!$A:$E,3,FALSE())),1,0),0)</f>
        <v>0</v>
      </c>
      <c r="J929" s="7" t="str">
        <f aca="false">IFERROR(IF($A929&gt;=VLOOKUP($B929,Ref_Acuerdos!$A:$E,3,FALSE()),VLOOKUP($B929,Ref_Acuerdos!$A:$E,4,FALSE()),""),"")</f>
        <v/>
      </c>
      <c r="K929" s="4" t="str">
        <f aca="false">IFERROR(IF($A929&gt;=VLOOKUP($B929,Ref_Acuerdos!$A:$E,3,FALSE()),VLOOKUP($B929,Ref_Acuerdos!$A:$E,5,FALSE()),"Sin FTA/PTA vigente ese año - arancel NMF"),"Sin FTA/PTA identificado - arancel NMF")</f>
        <v>Sin FTA/PTA identificado - arancel NMF</v>
      </c>
    </row>
    <row r="930" customFormat="false" ht="15" hidden="false" customHeight="false" outlineLevel="0" collapsed="false">
      <c r="A930" s="2" t="n">
        <v>2023</v>
      </c>
      <c r="B930" s="2" t="s">
        <v>39</v>
      </c>
      <c r="C930" s="4" t="str">
        <f aca="false">IFERROR(VLOOKUP($B930,Ref_Continente!$A:$B,2,FALSE()),"Sin clasificar")</f>
        <v>North America</v>
      </c>
      <c r="D930" s="5" t="n">
        <v>28517</v>
      </c>
      <c r="E930" s="6" t="n">
        <v>4490.9</v>
      </c>
      <c r="F930" s="6" t="n">
        <v>2000</v>
      </c>
      <c r="G930" s="5" t="n">
        <v>33853940000</v>
      </c>
      <c r="H930" s="4" t="n">
        <f aca="false">IFERROR(IF(AND(VLOOKUP($B930,Ref_Acuerdos!$A:$E,2,FALSE())="FTA",$A930&gt;=VLOOKUP($B930,Ref_Acuerdos!$A:$E,3,FALSE())),1,0),0)</f>
        <v>0</v>
      </c>
      <c r="I930" s="4" t="n">
        <f aca="false">IFERROR(IF(AND(VLOOKUP($B930,Ref_Acuerdos!$A:$E,2,FALSE())="PTA",$A930&gt;=VLOOKUP($B930,Ref_Acuerdos!$A:$E,3,FALSE())),1,0),0)</f>
        <v>0</v>
      </c>
      <c r="J930" s="7" t="str">
        <f aca="false">IFERROR(IF($A930&gt;=VLOOKUP($B930,Ref_Acuerdos!$A:$E,3,FALSE()),VLOOKUP($B930,Ref_Acuerdos!$A:$E,4,FALSE()),""),"")</f>
        <v/>
      </c>
      <c r="K930" s="4" t="str">
        <f aca="false">IFERROR(IF($A930&gt;=VLOOKUP($B930,Ref_Acuerdos!$A:$E,3,FALSE()),VLOOKUP($B930,Ref_Acuerdos!$A:$E,5,FALSE()),"Sin FTA/PTA vigente ese año - arancel NMF"),"Sin FTA/PTA identificado - arancel NMF")</f>
        <v>Sin FTA/PTA identificado - arancel NMF</v>
      </c>
    </row>
    <row r="931" customFormat="false" ht="15" hidden="false" customHeight="false" outlineLevel="0" collapsed="false">
      <c r="A931" s="2" t="n">
        <v>2023</v>
      </c>
      <c r="B931" s="2" t="s">
        <v>52</v>
      </c>
      <c r="C931" s="4" t="str">
        <f aca="false">IFERROR(VLOOKUP($B931,Ref_Continente!$A:$B,2,FALSE()),"Sin clasificar")</f>
        <v>Europe</v>
      </c>
      <c r="D931" s="5" t="n">
        <v>21954</v>
      </c>
      <c r="E931" s="6" t="n">
        <v>0</v>
      </c>
      <c r="F931" s="6" t="n">
        <v>10350</v>
      </c>
      <c r="G931" s="5" t="n">
        <v>213240316634.65</v>
      </c>
      <c r="H931" s="4" t="n">
        <f aca="false">IFERROR(IF(AND(VLOOKUP($B931,Ref_Acuerdos!$A:$E,2,FALSE())="FTA",$A931&gt;=VLOOKUP($B931,Ref_Acuerdos!$A:$E,3,FALSE())),1,0),0)</f>
        <v>1</v>
      </c>
      <c r="I931" s="4" t="n">
        <f aca="false">IFERROR(IF(AND(VLOOKUP($B931,Ref_Acuerdos!$A:$E,2,FALSE())="PTA",$A931&gt;=VLOOKUP($B931,Ref_Acuerdos!$A:$E,3,FALSE())),1,0),0)</f>
        <v>0</v>
      </c>
      <c r="J931" s="7" t="n">
        <f aca="false">IFERROR(IF($A931&gt;=VLOOKUP($B931,Ref_Acuerdos!$A:$E,3,FALSE()),VLOOKUP($B931,Ref_Acuerdos!$A:$E,4,FALSE()),""),"")</f>
        <v>0</v>
      </c>
      <c r="K931" s="4" t="str">
        <f aca="false">IFERROR(IF($A931&gt;=VLOOKUP($B931,Ref_Acuerdos!$A:$E,3,FALSE()),VLOOKUP($B931,Ref_Acuerdos!$A:$E,5,FALSE()),"Sin FTA/PTA vigente ese año - arancel NMF"),"Sin FTA/PTA identificado - arancel NMF")</f>
        <v>UE-Ecuador Acuerdo Multipartes, vigente desde ene-2017</v>
      </c>
    </row>
    <row r="932" customFormat="false" ht="15" hidden="false" customHeight="false" outlineLevel="0" collapsed="false">
      <c r="A932" s="2" t="n">
        <v>2023</v>
      </c>
      <c r="B932" s="2" t="s">
        <v>108</v>
      </c>
      <c r="C932" s="4" t="str">
        <f aca="false">IFERROR(VLOOKUP($B932,Ref_Continente!$A:$B,2,FALSE()),"Sin clasificar")</f>
        <v>Europe</v>
      </c>
      <c r="D932" s="5" t="n">
        <v>19483</v>
      </c>
      <c r="E932" s="6" t="n">
        <v>0</v>
      </c>
      <c r="F932" s="6" t="n">
        <v>9800</v>
      </c>
      <c r="G932" s="5" t="n">
        <v>894424821645.21</v>
      </c>
      <c r="H932" s="4" t="n">
        <f aca="false">IFERROR(IF(AND(VLOOKUP($B932,Ref_Acuerdos!$A:$E,2,FALSE())="FTA",$A932&gt;=VLOOKUP($B932,Ref_Acuerdos!$A:$E,3,FALSE())),1,0),0)</f>
        <v>1</v>
      </c>
      <c r="I932" s="4" t="n">
        <f aca="false">IFERROR(IF(AND(VLOOKUP($B932,Ref_Acuerdos!$A:$E,2,FALSE())="PTA",$A932&gt;=VLOOKUP($B932,Ref_Acuerdos!$A:$E,3,FALSE())),1,0),0)</f>
        <v>0</v>
      </c>
      <c r="J932" s="7" t="n">
        <f aca="false">IFERROR(IF($A932&gt;=VLOOKUP($B932,Ref_Acuerdos!$A:$E,3,FALSE()),VLOOKUP($B932,Ref_Acuerdos!$A:$E,4,FALSE()),""),"")</f>
        <v>0</v>
      </c>
      <c r="K932" s="4" t="str">
        <f aca="false">IFERROR(IF($A932&gt;=VLOOKUP($B932,Ref_Acuerdos!$A:$E,3,FALSE()),VLOOKUP($B932,Ref_Acuerdos!$A:$E,5,FALSE()),"Sin FTA/PTA vigente ese año - arancel NMF"),"Sin FTA/PTA identificado - arancel NMF")</f>
        <v>EFTA-Ecuador, vigente desde nov-2020</v>
      </c>
    </row>
    <row r="933" customFormat="false" ht="15" hidden="false" customHeight="false" outlineLevel="0" collapsed="false">
      <c r="A933" s="2" t="n">
        <v>2023</v>
      </c>
      <c r="B933" s="2" t="s">
        <v>60</v>
      </c>
      <c r="C933" s="4" t="str">
        <f aca="false">IFERROR(VLOOKUP($B933,Ref_Continente!$A:$B,2,FALSE()),"Sin clasificar")</f>
        <v>North America</v>
      </c>
      <c r="D933" s="5" t="n">
        <v>17771</v>
      </c>
      <c r="E933" s="6" t="n">
        <v>2768.9</v>
      </c>
      <c r="F933" s="6" t="n">
        <v>1900</v>
      </c>
      <c r="G933" s="5" t="n">
        <v>21418804319.64</v>
      </c>
      <c r="H933" s="4" t="n">
        <f aca="false">IFERROR(IF(AND(VLOOKUP($B933,Ref_Acuerdos!$A:$E,2,FALSE())="FTA",$A933&gt;=VLOOKUP($B933,Ref_Acuerdos!$A:$E,3,FALSE())),1,0),0)</f>
        <v>0</v>
      </c>
      <c r="I933" s="4" t="n">
        <f aca="false">IFERROR(IF(AND(VLOOKUP($B933,Ref_Acuerdos!$A:$E,2,FALSE())="PTA",$A933&gt;=VLOOKUP($B933,Ref_Acuerdos!$A:$E,3,FALSE())),1,0),0)</f>
        <v>0</v>
      </c>
      <c r="J933" s="7" t="str">
        <f aca="false">IFERROR(IF($A933&gt;=VLOOKUP($B933,Ref_Acuerdos!$A:$E,3,FALSE()),VLOOKUP($B933,Ref_Acuerdos!$A:$E,4,FALSE()),""),"")</f>
        <v/>
      </c>
      <c r="K933" s="4" t="str">
        <f aca="false">IFERROR(IF($A933&gt;=VLOOKUP($B933,Ref_Acuerdos!$A:$E,3,FALSE()),VLOOKUP($B933,Ref_Acuerdos!$A:$E,5,FALSE()),"Sin FTA/PTA vigente ese año - arancel NMF"),"Sin FTA/PTA identificado - arancel NMF")</f>
        <v>Sin FTA/PTA identificado - arancel NMF</v>
      </c>
    </row>
    <row r="934" customFormat="false" ht="15" hidden="false" customHeight="false" outlineLevel="0" collapsed="false">
      <c r="A934" s="2" t="n">
        <v>2023</v>
      </c>
      <c r="B934" s="2" t="s">
        <v>64</v>
      </c>
      <c r="C934" s="4" t="str">
        <f aca="false">IFERROR(VLOOKUP($B934,Ref_Continente!$A:$B,2,FALSE()),"Sin clasificar")</f>
        <v>Asia</v>
      </c>
      <c r="D934" s="5" t="n">
        <v>14950</v>
      </c>
      <c r="E934" s="6" t="n">
        <v>2346.8</v>
      </c>
      <c r="F934" s="6" t="n">
        <v>13500</v>
      </c>
      <c r="G934" s="5" t="n">
        <v>165384407116.23</v>
      </c>
      <c r="H934" s="4" t="n">
        <f aca="false">IFERROR(IF(AND(VLOOKUP($B934,Ref_Acuerdos!$A:$E,2,FALSE())="FTA",$A934&gt;=VLOOKUP($B934,Ref_Acuerdos!$A:$E,3,FALSE())),1,0),0)</f>
        <v>0</v>
      </c>
      <c r="I934" s="4" t="n">
        <f aca="false">IFERROR(IF(AND(VLOOKUP($B934,Ref_Acuerdos!$A:$E,2,FALSE())="PTA",$A934&gt;=VLOOKUP($B934,Ref_Acuerdos!$A:$E,3,FALSE())),1,0),0)</f>
        <v>0</v>
      </c>
      <c r="J934" s="7" t="str">
        <f aca="false">IFERROR(IF($A934&gt;=VLOOKUP($B934,Ref_Acuerdos!$A:$E,3,FALSE()),VLOOKUP($B934,Ref_Acuerdos!$A:$E,4,FALSE()),""),"")</f>
        <v/>
      </c>
      <c r="K934" s="4" t="str">
        <f aca="false">IFERROR(IF($A934&gt;=VLOOKUP($B934,Ref_Acuerdos!$A:$E,3,FALSE()),VLOOKUP($B934,Ref_Acuerdos!$A:$E,5,FALSE()),"Sin FTA/PTA vigente ese año - arancel NMF"),"Sin FTA/PTA identificado - arancel NMF")</f>
        <v>Sin FTA/PTA identificado - arancel NMF</v>
      </c>
    </row>
    <row r="935" customFormat="false" ht="15" hidden="false" customHeight="false" outlineLevel="0" collapsed="false">
      <c r="A935" s="2" t="n">
        <v>2023</v>
      </c>
      <c r="B935" s="2" t="s">
        <v>91</v>
      </c>
      <c r="C935" s="4" t="str">
        <f aca="false">IFERROR(VLOOKUP($B935,Ref_Continente!$A:$B,2,FALSE()),"Sin clasificar")</f>
        <v>Europe</v>
      </c>
      <c r="D935" s="5" t="n">
        <v>13003</v>
      </c>
      <c r="E935" s="6" t="n">
        <v>1960.5</v>
      </c>
      <c r="F935" s="6" t="n">
        <v>8700</v>
      </c>
      <c r="G935" s="5" t="n">
        <v>292323800948.84</v>
      </c>
      <c r="H935" s="4" t="n">
        <f aca="false">IFERROR(IF(AND(VLOOKUP($B935,Ref_Acuerdos!$A:$E,2,FALSE())="FTA",$A935&gt;=VLOOKUP($B935,Ref_Acuerdos!$A:$E,3,FALSE())),1,0),0)</f>
        <v>1</v>
      </c>
      <c r="I935" s="4" t="n">
        <f aca="false">IFERROR(IF(AND(VLOOKUP($B935,Ref_Acuerdos!$A:$E,2,FALSE())="PTA",$A935&gt;=VLOOKUP($B935,Ref_Acuerdos!$A:$E,3,FALSE())),1,0),0)</f>
        <v>0</v>
      </c>
      <c r="J935" s="7" t="n">
        <f aca="false">IFERROR(IF($A935&gt;=VLOOKUP($B935,Ref_Acuerdos!$A:$E,3,FALSE()),VLOOKUP($B935,Ref_Acuerdos!$A:$E,4,FALSE()),""),"")</f>
        <v>0</v>
      </c>
      <c r="K935" s="4" t="str">
        <f aca="false">IFERROR(IF($A935&gt;=VLOOKUP($B935,Ref_Acuerdos!$A:$E,3,FALSE()),VLOOKUP($B935,Ref_Acuerdos!$A:$E,5,FALSE()),"Sin FTA/PTA vigente ese año - arancel NMF"),"Sin FTA/PTA identificado - arancel NMF")</f>
        <v>UE-Ecuador Acuerdo Multipartes, vigente desde ene-2017</v>
      </c>
    </row>
    <row r="936" customFormat="false" ht="15" hidden="false" customHeight="false" outlineLevel="0" collapsed="false">
      <c r="A936" s="2" t="n">
        <v>2023</v>
      </c>
      <c r="B936" s="2" t="s">
        <v>111</v>
      </c>
      <c r="C936" s="4" t="str">
        <f aca="false">IFERROR(VLOOKUP($B936,Ref_Continente!$A:$B,2,FALSE()),"Sin clasificar")</f>
        <v>North America</v>
      </c>
      <c r="D936" s="5" t="n">
        <v>11296</v>
      </c>
      <c r="E936" s="6" t="n">
        <v>1549</v>
      </c>
      <c r="F936" s="6" t="n">
        <v>2530</v>
      </c>
      <c r="G936" s="5" t="n">
        <v>25036993423.37</v>
      </c>
      <c r="H936" s="4" t="n">
        <f aca="false">IFERROR(IF(AND(VLOOKUP($B936,Ref_Acuerdos!$A:$E,2,FALSE())="FTA",$A936&gt;=VLOOKUP($B936,Ref_Acuerdos!$A:$E,3,FALSE())),1,0),0)</f>
        <v>0</v>
      </c>
      <c r="I936" s="4" t="n">
        <f aca="false">IFERROR(IF(AND(VLOOKUP($B936,Ref_Acuerdos!$A:$E,2,FALSE())="PTA",$A936&gt;=VLOOKUP($B936,Ref_Acuerdos!$A:$E,3,FALSE())),1,0),0)</f>
        <v>0</v>
      </c>
      <c r="J936" s="7" t="str">
        <f aca="false">IFERROR(IF($A936&gt;=VLOOKUP($B936,Ref_Acuerdos!$A:$E,3,FALSE()),VLOOKUP($B936,Ref_Acuerdos!$A:$E,4,FALSE()),""),"")</f>
        <v/>
      </c>
      <c r="K936" s="4" t="str">
        <f aca="false">IFERROR(IF($A936&gt;=VLOOKUP($B936,Ref_Acuerdos!$A:$E,3,FALSE()),VLOOKUP($B936,Ref_Acuerdos!$A:$E,5,FALSE()),"Sin FTA/PTA vigente ese año - arancel NMF"),"Sin FTA/PTA identificado - arancel NMF")</f>
        <v>Sin FTA/PTA identificado - arancel NMF</v>
      </c>
    </row>
    <row r="937" customFormat="false" ht="15" hidden="false" customHeight="false" outlineLevel="0" collapsed="false">
      <c r="A937" s="2" t="n">
        <v>2023</v>
      </c>
      <c r="B937" s="2" t="s">
        <v>68</v>
      </c>
      <c r="C937" s="4" t="str">
        <f aca="false">IFERROR(VLOOKUP($B937,Ref_Continente!$A:$B,2,FALSE()),"Sin clasificar")</f>
        <v>Europe</v>
      </c>
      <c r="D937" s="5" t="n">
        <v>7315</v>
      </c>
      <c r="E937" s="6" t="n">
        <v>857.1</v>
      </c>
      <c r="F937" s="6" t="n">
        <v>10250</v>
      </c>
      <c r="G937" s="5" t="n">
        <v>79789877416.17</v>
      </c>
      <c r="H937" s="4" t="n">
        <f aca="false">IFERROR(IF(AND(VLOOKUP($B937,Ref_Acuerdos!$A:$E,2,FALSE())="FTA",$A937&gt;=VLOOKUP($B937,Ref_Acuerdos!$A:$E,3,FALSE())),1,0),0)</f>
        <v>1</v>
      </c>
      <c r="I937" s="4" t="n">
        <f aca="false">IFERROR(IF(AND(VLOOKUP($B937,Ref_Acuerdos!$A:$E,2,FALSE())="PTA",$A937&gt;=VLOOKUP($B937,Ref_Acuerdos!$A:$E,3,FALSE())),1,0),0)</f>
        <v>0</v>
      </c>
      <c r="J937" s="7" t="n">
        <f aca="false">IFERROR(IF($A937&gt;=VLOOKUP($B937,Ref_Acuerdos!$A:$E,3,FALSE()),VLOOKUP($B937,Ref_Acuerdos!$A:$E,4,FALSE()),""),"")</f>
        <v>0</v>
      </c>
      <c r="K937" s="4" t="str">
        <f aca="false">IFERROR(IF($A937&gt;=VLOOKUP($B937,Ref_Acuerdos!$A:$E,3,FALSE()),VLOOKUP($B937,Ref_Acuerdos!$A:$E,5,FALSE()),"Sin FTA/PTA vigente ese año - arancel NMF"),"Sin FTA/PTA identificado - arancel NMF")</f>
        <v>UE-Ecuador Acuerdo Multipartes, vigente desde ene-2017</v>
      </c>
    </row>
    <row r="938" customFormat="false" ht="15" hidden="false" customHeight="false" outlineLevel="0" collapsed="false">
      <c r="A938" s="2" t="n">
        <v>2023</v>
      </c>
      <c r="B938" s="2" t="s">
        <v>32</v>
      </c>
      <c r="C938" s="4" t="str">
        <f aca="false">IFERROR(VLOOKUP($B938,Ref_Continente!$A:$B,2,FALSE()),"Sin clasificar")</f>
        <v>North America</v>
      </c>
      <c r="D938" s="5" t="n">
        <v>5932</v>
      </c>
      <c r="E938" s="6" t="n">
        <v>622.6</v>
      </c>
      <c r="F938" s="6" t="n">
        <v>2450</v>
      </c>
      <c r="G938" s="5"/>
      <c r="H938" s="4" t="n">
        <f aca="false">IFERROR(IF(AND(VLOOKUP($B938,Ref_Acuerdos!$A:$E,2,FALSE())="FTA",$A938&gt;=VLOOKUP($B938,Ref_Acuerdos!$A:$E,3,FALSE())),1,0),0)</f>
        <v>0</v>
      </c>
      <c r="I938" s="4" t="n">
        <f aca="false">IFERROR(IF(AND(VLOOKUP($B938,Ref_Acuerdos!$A:$E,2,FALSE())="PTA",$A938&gt;=VLOOKUP($B938,Ref_Acuerdos!$A:$E,3,FALSE())),1,0),0)</f>
        <v>1</v>
      </c>
      <c r="J938" s="7" t="n">
        <f aca="false">IFERROR(IF($A938&gt;=VLOOKUP($B938,Ref_Acuerdos!$A:$E,3,FALSE()),VLOOKUP($B938,Ref_Acuerdos!$A:$E,4,FALSE()),""),"")</f>
        <v>10</v>
      </c>
      <c r="K938" s="4" t="str">
        <f aca="false">IFERROR(IF($A938&gt;=VLOOKUP($B938,Ref_Acuerdos!$A:$E,3,FALSE()),VLOOKUP($B938,Ref_Acuerdos!$A:$E,5,FALSE()),"Sin FTA/PTA vigente ese año - arancel NMF"),"Sin FTA/PTA identificado - arancel NMF")</f>
        <v>ALADI - Acuerdo de Alcance Parcial (preferencia limitada, tarifa referencial)</v>
      </c>
    </row>
    <row r="939" customFormat="false" ht="15" hidden="false" customHeight="false" outlineLevel="0" collapsed="false">
      <c r="A939" s="2" t="n">
        <v>2023</v>
      </c>
      <c r="B939" s="2" t="s">
        <v>89</v>
      </c>
      <c r="C939" s="4" t="str">
        <f aca="false">IFERROR(VLOOKUP($B939,Ref_Continente!$A:$B,2,FALSE()),"Sin clasificar")</f>
        <v>Asia</v>
      </c>
      <c r="D939" s="5" t="n">
        <v>4677</v>
      </c>
      <c r="E939" s="6" t="n">
        <v>689.7</v>
      </c>
      <c r="F939" s="6" t="n">
        <v>17800</v>
      </c>
      <c r="G939" s="5" t="n">
        <v>437055627244.42</v>
      </c>
      <c r="H939" s="4" t="n">
        <f aca="false">IFERROR(IF(AND(VLOOKUP($B939,Ref_Acuerdos!$A:$E,2,FALSE())="FTA",$A939&gt;=VLOOKUP($B939,Ref_Acuerdos!$A:$E,3,FALSE())),1,0),0)</f>
        <v>0</v>
      </c>
      <c r="I939" s="4" t="n">
        <f aca="false">IFERROR(IF(AND(VLOOKUP($B939,Ref_Acuerdos!$A:$E,2,FALSE())="PTA",$A939&gt;=VLOOKUP($B939,Ref_Acuerdos!$A:$E,3,FALSE())),1,0),0)</f>
        <v>0</v>
      </c>
      <c r="J939" s="7" t="str">
        <f aca="false">IFERROR(IF($A939&gt;=VLOOKUP($B939,Ref_Acuerdos!$A:$E,3,FALSE()),VLOOKUP($B939,Ref_Acuerdos!$A:$E,4,FALSE()),""),"")</f>
        <v/>
      </c>
      <c r="K939" s="4" t="str">
        <f aca="false">IFERROR(IF($A939&gt;=VLOOKUP($B939,Ref_Acuerdos!$A:$E,3,FALSE()),VLOOKUP($B939,Ref_Acuerdos!$A:$E,5,FALSE()),"Sin FTA/PTA vigente ese año - arancel NMF"),"Sin FTA/PTA identificado - arancel NMF")</f>
        <v>Sin FTA/PTA identificado - arancel NMF</v>
      </c>
    </row>
    <row r="940" customFormat="false" ht="15" hidden="false" customHeight="false" outlineLevel="0" collapsed="false">
      <c r="A940" s="2" t="n">
        <v>2023</v>
      </c>
      <c r="B940" s="2" t="s">
        <v>35</v>
      </c>
      <c r="C940" s="4" t="str">
        <f aca="false">IFERROR(VLOOKUP($B940,Ref_Continente!$A:$B,2,FALSE()),"Sin clasificar")</f>
        <v>Europe</v>
      </c>
      <c r="D940" s="5" t="n">
        <v>4575</v>
      </c>
      <c r="E940" s="6" t="n">
        <v>526.2</v>
      </c>
      <c r="F940" s="6" t="n">
        <v>10100</v>
      </c>
      <c r="G940" s="5" t="n">
        <v>345059295659.91</v>
      </c>
      <c r="H940" s="4" t="n">
        <f aca="false">IFERROR(IF(AND(VLOOKUP($B940,Ref_Acuerdos!$A:$E,2,FALSE())="FTA",$A940&gt;=VLOOKUP($B940,Ref_Acuerdos!$A:$E,3,FALSE())),1,0),0)</f>
        <v>1</v>
      </c>
      <c r="I940" s="4" t="n">
        <f aca="false">IFERROR(IF(AND(VLOOKUP($B940,Ref_Acuerdos!$A:$E,2,FALSE())="PTA",$A940&gt;=VLOOKUP($B940,Ref_Acuerdos!$A:$E,3,FALSE())),1,0),0)</f>
        <v>0</v>
      </c>
      <c r="J940" s="7" t="n">
        <f aca="false">IFERROR(IF($A940&gt;=VLOOKUP($B940,Ref_Acuerdos!$A:$E,3,FALSE()),VLOOKUP($B940,Ref_Acuerdos!$A:$E,4,FALSE()),""),"")</f>
        <v>0</v>
      </c>
      <c r="K940" s="4" t="str">
        <f aca="false">IFERROR(IF($A940&gt;=VLOOKUP($B940,Ref_Acuerdos!$A:$E,3,FALSE()),VLOOKUP($B940,Ref_Acuerdos!$A:$E,5,FALSE()),"Sin FTA/PTA vigente ese año - arancel NMF"),"Sin FTA/PTA identificado - arancel NMF")</f>
        <v>UE-Ecuador Acuerdo Multipartes, vigente desde ene-2017</v>
      </c>
    </row>
    <row r="941" customFormat="false" ht="15" hidden="false" customHeight="false" outlineLevel="0" collapsed="false">
      <c r="A941" s="2" t="n">
        <v>2023</v>
      </c>
      <c r="B941" s="2" t="s">
        <v>40</v>
      </c>
      <c r="C941" s="4" t="str">
        <f aca="false">IFERROR(VLOOKUP($B941,Ref_Continente!$A:$B,2,FALSE()),"Sin clasificar")</f>
        <v>Europe</v>
      </c>
      <c r="D941" s="5" t="n">
        <v>4012</v>
      </c>
      <c r="E941" s="6" t="n">
        <v>0</v>
      </c>
      <c r="F941" s="6" t="n">
        <v>10400</v>
      </c>
      <c r="G941" s="5" t="n">
        <v>41470344395.11</v>
      </c>
      <c r="H941" s="4" t="n">
        <f aca="false">IFERROR(IF(AND(VLOOKUP($B941,Ref_Acuerdos!$A:$E,2,FALSE())="FTA",$A941&gt;=VLOOKUP($B941,Ref_Acuerdos!$A:$E,3,FALSE())),1,0),0)</f>
        <v>1</v>
      </c>
      <c r="I941" s="4" t="n">
        <f aca="false">IFERROR(IF(AND(VLOOKUP($B941,Ref_Acuerdos!$A:$E,2,FALSE())="PTA",$A941&gt;=VLOOKUP($B941,Ref_Acuerdos!$A:$E,3,FALSE())),1,0),0)</f>
        <v>0</v>
      </c>
      <c r="J941" s="7" t="n">
        <f aca="false">IFERROR(IF($A941&gt;=VLOOKUP($B941,Ref_Acuerdos!$A:$E,3,FALSE()),VLOOKUP($B941,Ref_Acuerdos!$A:$E,4,FALSE()),""),"")</f>
        <v>0</v>
      </c>
      <c r="K941" s="4" t="str">
        <f aca="false">IFERROR(IF($A941&gt;=VLOOKUP($B941,Ref_Acuerdos!$A:$E,3,FALSE()),VLOOKUP($B941,Ref_Acuerdos!$A:$E,5,FALSE()),"Sin FTA/PTA vigente ese año - arancel NMF"),"Sin FTA/PTA identificado - arancel NMF")</f>
        <v>UE-Ecuador Acuerdo Multipartes, vigente desde ene-2017</v>
      </c>
    </row>
    <row r="942" customFormat="false" ht="15" hidden="false" customHeight="false" outlineLevel="0" collapsed="false">
      <c r="A942" s="2" t="n">
        <v>2023</v>
      </c>
      <c r="B942" s="2" t="s">
        <v>71</v>
      </c>
      <c r="C942" s="4" t="str">
        <f aca="false">IFERROR(VLOOKUP($B942,Ref_Continente!$A:$B,2,FALSE()),"Sin clasificar")</f>
        <v>Asia</v>
      </c>
      <c r="D942" s="5" t="n">
        <v>2752</v>
      </c>
      <c r="E942" s="6" t="n">
        <v>356.2</v>
      </c>
      <c r="F942" s="6" t="n">
        <v>17100</v>
      </c>
      <c r="G942" s="5" t="n">
        <v>6621008703.96</v>
      </c>
      <c r="H942" s="4" t="n">
        <f aca="false">IFERROR(IF(AND(VLOOKUP($B942,Ref_Acuerdos!$A:$E,2,FALSE())="FTA",$A942&gt;=VLOOKUP($B942,Ref_Acuerdos!$A:$E,3,FALSE())),1,0),0)</f>
        <v>0</v>
      </c>
      <c r="I942" s="4" t="n">
        <f aca="false">IFERROR(IF(AND(VLOOKUP($B942,Ref_Acuerdos!$A:$E,2,FALSE())="PTA",$A942&gt;=VLOOKUP($B942,Ref_Acuerdos!$A:$E,3,FALSE())),1,0),0)</f>
        <v>0</v>
      </c>
      <c r="J942" s="7" t="str">
        <f aca="false">IFERROR(IF($A942&gt;=VLOOKUP($B942,Ref_Acuerdos!$A:$E,3,FALSE()),VLOOKUP($B942,Ref_Acuerdos!$A:$E,4,FALSE()),""),"")</f>
        <v/>
      </c>
      <c r="K942" s="4" t="str">
        <f aca="false">IFERROR(IF($A942&gt;=VLOOKUP($B942,Ref_Acuerdos!$A:$E,3,FALSE()),VLOOKUP($B942,Ref_Acuerdos!$A:$E,5,FALSE()),"Sin FTA/PTA vigente ese año - arancel NMF"),"Sin FTA/PTA identificado - arancel NMF")</f>
        <v>Sin FTA/PTA identificado - arancel NMF</v>
      </c>
    </row>
    <row r="943" customFormat="false" ht="15" hidden="false" customHeight="false" outlineLevel="0" collapsed="false">
      <c r="A943" s="2" t="n">
        <v>2023</v>
      </c>
      <c r="B943" s="2" t="s">
        <v>85</v>
      </c>
      <c r="C943" s="4" t="str">
        <f aca="false">IFERROR(VLOOKUP($B943,Ref_Continente!$A:$B,2,FALSE()),"Sin clasificar")</f>
        <v>Asia</v>
      </c>
      <c r="D943" s="5" t="n">
        <v>2170</v>
      </c>
      <c r="E943" s="6" t="n">
        <v>0</v>
      </c>
      <c r="F943" s="6" t="n">
        <v>0</v>
      </c>
      <c r="G943" s="5"/>
      <c r="H943" s="4" t="n">
        <f aca="false">IFERROR(IF(AND(VLOOKUP($B943,Ref_Acuerdos!$A:$E,2,FALSE())="FTA",$A943&gt;=VLOOKUP($B943,Ref_Acuerdos!$A:$E,3,FALSE())),1,0),0)</f>
        <v>0</v>
      </c>
      <c r="I943" s="4" t="n">
        <f aca="false">IFERROR(IF(AND(VLOOKUP($B943,Ref_Acuerdos!$A:$E,2,FALSE())="PTA",$A943&gt;=VLOOKUP($B943,Ref_Acuerdos!$A:$E,3,FALSE())),1,0),0)</f>
        <v>0</v>
      </c>
      <c r="J943" s="7" t="str">
        <f aca="false">IFERROR(IF($A943&gt;=VLOOKUP($B943,Ref_Acuerdos!$A:$E,3,FALSE()),VLOOKUP($B943,Ref_Acuerdos!$A:$E,4,FALSE()),""),"")</f>
        <v/>
      </c>
      <c r="K943" s="4" t="str">
        <f aca="false">IFERROR(IF($A943&gt;=VLOOKUP($B943,Ref_Acuerdos!$A:$E,3,FALSE()),VLOOKUP($B943,Ref_Acuerdos!$A:$E,5,FALSE()),"Sin FTA/PTA vigente ese año - arancel NMF"),"Sin FTA/PTA identificado - arancel NMF")</f>
        <v>Sin FTA/PTA identificado - arancel NMF</v>
      </c>
    </row>
    <row r="944" customFormat="false" ht="15" hidden="false" customHeight="false" outlineLevel="0" collapsed="false">
      <c r="A944" s="2" t="n">
        <v>2023</v>
      </c>
      <c r="B944" s="2" t="s">
        <v>42</v>
      </c>
      <c r="C944" s="4" t="str">
        <f aca="false">IFERROR(VLOOKUP($B944,Ref_Continente!$A:$B,2,FALSE()),"Sin clasificar")</f>
        <v>Europe</v>
      </c>
      <c r="D944" s="5" t="n">
        <v>2001</v>
      </c>
      <c r="E944" s="6" t="n">
        <v>261.2</v>
      </c>
      <c r="F944" s="6" t="n">
        <v>9150</v>
      </c>
      <c r="G944" s="5" t="n">
        <v>3056250648138.29</v>
      </c>
      <c r="H944" s="4" t="n">
        <f aca="false">IFERROR(IF(AND(VLOOKUP($B944,Ref_Acuerdos!$A:$E,2,FALSE())="FTA",$A944&gt;=VLOOKUP($B944,Ref_Acuerdos!$A:$E,3,FALSE())),1,0),0)</f>
        <v>1</v>
      </c>
      <c r="I944" s="4" t="n">
        <f aca="false">IFERROR(IF(AND(VLOOKUP($B944,Ref_Acuerdos!$A:$E,2,FALSE())="PTA",$A944&gt;=VLOOKUP($B944,Ref_Acuerdos!$A:$E,3,FALSE())),1,0),0)</f>
        <v>0</v>
      </c>
      <c r="J944" s="7" t="n">
        <f aca="false">IFERROR(IF($A944&gt;=VLOOKUP($B944,Ref_Acuerdos!$A:$E,3,FALSE()),VLOOKUP($B944,Ref_Acuerdos!$A:$E,4,FALSE()),""),"")</f>
        <v>0</v>
      </c>
      <c r="K944" s="4" t="str">
        <f aca="false">IFERROR(IF($A944&gt;=VLOOKUP($B944,Ref_Acuerdos!$A:$E,3,FALSE()),VLOOKUP($B944,Ref_Acuerdos!$A:$E,5,FALSE()),"Sin FTA/PTA vigente ese año - arancel NMF"),"Sin FTA/PTA identificado - arancel NMF")</f>
        <v>UE-Ecuador Acuerdo Multipartes, vigente desde ene-2017</v>
      </c>
    </row>
    <row r="945" customFormat="false" ht="15" hidden="false" customHeight="false" outlineLevel="0" collapsed="false">
      <c r="A945" s="2" t="n">
        <v>2023</v>
      </c>
      <c r="B945" s="2" t="s">
        <v>54</v>
      </c>
      <c r="C945" s="4" t="str">
        <f aca="false">IFERROR(VLOOKUP($B945,Ref_Continente!$A:$B,2,FALSE()),"Sin clasificar")</f>
        <v>Asia</v>
      </c>
      <c r="D945" s="5" t="n">
        <v>1430</v>
      </c>
      <c r="E945" s="6" t="n">
        <v>108</v>
      </c>
      <c r="F945" s="6" t="n">
        <v>19300</v>
      </c>
      <c r="G945" s="5" t="n">
        <v>1371169301563.62</v>
      </c>
      <c r="H945" s="4" t="n">
        <f aca="false">IFERROR(IF(AND(VLOOKUP($B945,Ref_Acuerdos!$A:$E,2,FALSE())="FTA",$A945&gt;=VLOOKUP($B945,Ref_Acuerdos!$A:$E,3,FALSE())),1,0),0)</f>
        <v>0</v>
      </c>
      <c r="I945" s="4" t="n">
        <f aca="false">IFERROR(IF(AND(VLOOKUP($B945,Ref_Acuerdos!$A:$E,2,FALSE())="PTA",$A945&gt;=VLOOKUP($B945,Ref_Acuerdos!$A:$E,3,FALSE())),1,0),0)</f>
        <v>0</v>
      </c>
      <c r="J945" s="7" t="str">
        <f aca="false">IFERROR(IF($A945&gt;=VLOOKUP($B945,Ref_Acuerdos!$A:$E,3,FALSE()),VLOOKUP($B945,Ref_Acuerdos!$A:$E,4,FALSE()),""),"")</f>
        <v/>
      </c>
      <c r="K945" s="4" t="str">
        <f aca="false">IFERROR(IF($A945&gt;=VLOOKUP($B945,Ref_Acuerdos!$A:$E,3,FALSE()),VLOOKUP($B945,Ref_Acuerdos!$A:$E,5,FALSE()),"Sin FTA/PTA vigente ese año - arancel NMF"),"Sin FTA/PTA identificado - arancel NMF")</f>
        <v>Sin FTA/PTA identificado - arancel NMF</v>
      </c>
    </row>
    <row r="946" customFormat="false" ht="15" hidden="false" customHeight="false" outlineLevel="0" collapsed="false">
      <c r="A946" s="2" t="n">
        <v>2023</v>
      </c>
      <c r="B946" s="2" t="s">
        <v>120</v>
      </c>
      <c r="C946" s="4" t="str">
        <f aca="false">IFERROR(VLOOKUP($B946,Ref_Continente!$A:$B,2,FALSE()),"Sin clasificar")</f>
        <v>Asia</v>
      </c>
      <c r="D946" s="5" t="n">
        <v>1314</v>
      </c>
      <c r="E946" s="6" t="n">
        <v>176.2</v>
      </c>
      <c r="F946" s="6" t="n">
        <v>17600</v>
      </c>
      <c r="G946" s="5" t="n">
        <v>433857681378.29</v>
      </c>
      <c r="H946" s="4" t="n">
        <f aca="false">IFERROR(IF(AND(VLOOKUP($B946,Ref_Acuerdos!$A:$E,2,FALSE())="FTA",$A946&gt;=VLOOKUP($B946,Ref_Acuerdos!$A:$E,3,FALSE())),1,0),0)</f>
        <v>0</v>
      </c>
      <c r="I946" s="4" t="n">
        <f aca="false">IFERROR(IF(AND(VLOOKUP($B946,Ref_Acuerdos!$A:$E,2,FALSE())="PTA",$A946&gt;=VLOOKUP($B946,Ref_Acuerdos!$A:$E,3,FALSE())),1,0),0)</f>
        <v>0</v>
      </c>
      <c r="J946" s="7" t="str">
        <f aca="false">IFERROR(IF($A946&gt;=VLOOKUP($B946,Ref_Acuerdos!$A:$E,3,FALSE()),VLOOKUP($B946,Ref_Acuerdos!$A:$E,4,FALSE()),""),"")</f>
        <v/>
      </c>
      <c r="K946" s="4" t="str">
        <f aca="false">IFERROR(IF($A946&gt;=VLOOKUP($B946,Ref_Acuerdos!$A:$E,3,FALSE()),VLOOKUP($B946,Ref_Acuerdos!$A:$E,5,FALSE()),"Sin FTA/PTA vigente ese año - arancel NMF"),"Sin FTA/PTA identificado - arancel NMF")</f>
        <v>Sin FTA/PTA identificado - arancel NMF</v>
      </c>
    </row>
    <row r="947" customFormat="false" ht="15" hidden="false" customHeight="false" outlineLevel="0" collapsed="false">
      <c r="A947" s="2" t="n">
        <v>2023</v>
      </c>
      <c r="B947" s="2" t="s">
        <v>66</v>
      </c>
      <c r="C947" s="4" t="str">
        <f aca="false">IFERROR(VLOOKUP($B947,Ref_Continente!$A:$B,2,FALSE()),"Sin clasificar")</f>
        <v>Europe</v>
      </c>
      <c r="D947" s="5" t="n">
        <v>1201</v>
      </c>
      <c r="E947" s="6" t="n">
        <v>166.2</v>
      </c>
      <c r="F947" s="6" t="n">
        <v>10400</v>
      </c>
      <c r="G947" s="5" t="n">
        <v>42779550936.84</v>
      </c>
      <c r="H947" s="4" t="n">
        <f aca="false">IFERROR(IF(AND(VLOOKUP($B947,Ref_Acuerdos!$A:$E,2,FALSE())="FTA",$A947&gt;=VLOOKUP($B947,Ref_Acuerdos!$A:$E,3,FALSE())),1,0),0)</f>
        <v>1</v>
      </c>
      <c r="I947" s="4" t="n">
        <f aca="false">IFERROR(IF(AND(VLOOKUP($B947,Ref_Acuerdos!$A:$E,2,FALSE())="PTA",$A947&gt;=VLOOKUP($B947,Ref_Acuerdos!$A:$E,3,FALSE())),1,0),0)</f>
        <v>0</v>
      </c>
      <c r="J947" s="7" t="n">
        <f aca="false">IFERROR(IF($A947&gt;=VLOOKUP($B947,Ref_Acuerdos!$A:$E,3,FALSE()),VLOOKUP($B947,Ref_Acuerdos!$A:$E,4,FALSE()),""),"")</f>
        <v>0</v>
      </c>
      <c r="K947" s="4" t="str">
        <f aca="false">IFERROR(IF($A947&gt;=VLOOKUP($B947,Ref_Acuerdos!$A:$E,3,FALSE()),VLOOKUP($B947,Ref_Acuerdos!$A:$E,5,FALSE()),"Sin FTA/PTA vigente ese año - arancel NMF"),"Sin FTA/PTA identificado - arancel NMF")</f>
        <v>UE-Ecuador Acuerdo Multipartes, vigente desde ene-2017</v>
      </c>
    </row>
    <row r="948" customFormat="false" ht="15" hidden="false" customHeight="false" outlineLevel="0" collapsed="false">
      <c r="A948" s="2" t="n">
        <v>2023</v>
      </c>
      <c r="B948" s="2" t="s">
        <v>2</v>
      </c>
      <c r="C948" s="4" t="str">
        <f aca="false">IFERROR(VLOOKUP($B948,Ref_Continente!$A:$B,2,FALSE()),"Sin clasificar")</f>
        <v>Africa</v>
      </c>
      <c r="D948" s="5" t="n">
        <v>861</v>
      </c>
      <c r="E948" s="6" t="n">
        <v>0</v>
      </c>
      <c r="F948" s="6" t="n">
        <v>9140</v>
      </c>
      <c r="G948" s="5" t="n">
        <v>247923887214.66</v>
      </c>
      <c r="H948" s="4" t="n">
        <f aca="false">IFERROR(IF(AND(VLOOKUP($B948,Ref_Acuerdos!$A:$E,2,FALSE())="FTA",$A948&gt;=VLOOKUP($B948,Ref_Acuerdos!$A:$E,3,FALSE())),1,0),0)</f>
        <v>0</v>
      </c>
      <c r="I948" s="4" t="n">
        <f aca="false">IFERROR(IF(AND(VLOOKUP($B948,Ref_Acuerdos!$A:$E,2,FALSE())="PTA",$A948&gt;=VLOOKUP($B948,Ref_Acuerdos!$A:$E,3,FALSE())),1,0),0)</f>
        <v>0</v>
      </c>
      <c r="J948" s="7" t="str">
        <f aca="false">IFERROR(IF($A948&gt;=VLOOKUP($B948,Ref_Acuerdos!$A:$E,3,FALSE()),VLOOKUP($B948,Ref_Acuerdos!$A:$E,4,FALSE()),""),"")</f>
        <v/>
      </c>
      <c r="K948" s="4" t="str">
        <f aca="false">IFERROR(IF($A948&gt;=VLOOKUP($B948,Ref_Acuerdos!$A:$E,3,FALSE()),VLOOKUP($B948,Ref_Acuerdos!$A:$E,5,FALSE()),"Sin FTA/PTA vigente ese año - arancel NMF"),"Sin FTA/PTA identificado - arancel NMF")</f>
        <v>Sin FTA/PTA identificado - arancel NMF</v>
      </c>
    </row>
    <row r="949" customFormat="false" ht="15" hidden="false" customHeight="false" outlineLevel="0" collapsed="false">
      <c r="A949" s="2" t="n">
        <v>2023</v>
      </c>
      <c r="B949" s="2" t="s">
        <v>31</v>
      </c>
      <c r="C949" s="4" t="str">
        <f aca="false">IFERROR(VLOOKUP($B949,Ref_Continente!$A:$B,2,FALSE()),"Sin clasificar")</f>
        <v>Europe</v>
      </c>
      <c r="D949" s="5" t="n">
        <v>804</v>
      </c>
      <c r="E949" s="6" t="n">
        <v>9.1</v>
      </c>
      <c r="F949" s="6" t="n">
        <v>10400</v>
      </c>
      <c r="G949" s="5" t="n">
        <v>85624153964.1</v>
      </c>
      <c r="H949" s="4" t="n">
        <f aca="false">IFERROR(IF(AND(VLOOKUP($B949,Ref_Acuerdos!$A:$E,2,FALSE())="FTA",$A949&gt;=VLOOKUP($B949,Ref_Acuerdos!$A:$E,3,FALSE())),1,0),0)</f>
        <v>1</v>
      </c>
      <c r="I949" s="4" t="n">
        <f aca="false">IFERROR(IF(AND(VLOOKUP($B949,Ref_Acuerdos!$A:$E,2,FALSE())="PTA",$A949&gt;=VLOOKUP($B949,Ref_Acuerdos!$A:$E,3,FALSE())),1,0),0)</f>
        <v>0</v>
      </c>
      <c r="J949" s="7" t="n">
        <f aca="false">IFERROR(IF($A949&gt;=VLOOKUP($B949,Ref_Acuerdos!$A:$E,3,FALSE()),VLOOKUP($B949,Ref_Acuerdos!$A:$E,4,FALSE()),""),"")</f>
        <v>0</v>
      </c>
      <c r="K949" s="4" t="str">
        <f aca="false">IFERROR(IF($A949&gt;=VLOOKUP($B949,Ref_Acuerdos!$A:$E,3,FALSE()),VLOOKUP($B949,Ref_Acuerdos!$A:$E,5,FALSE()),"Sin FTA/PTA vigente ese año - arancel NMF"),"Sin FTA/PTA identificado - arancel NMF")</f>
        <v>UE-Ecuador Acuerdo Multipartes, vigente desde ene-2017</v>
      </c>
    </row>
    <row r="950" customFormat="false" ht="15" hidden="false" customHeight="false" outlineLevel="0" collapsed="false">
      <c r="A950" s="2" t="n">
        <v>2023</v>
      </c>
      <c r="B950" s="2" t="s">
        <v>98</v>
      </c>
      <c r="C950" s="4" t="str">
        <f aca="false">IFERROR(VLOOKUP($B950,Ref_Continente!$A:$B,2,FALSE()),"Sin clasificar")</f>
        <v>North America</v>
      </c>
      <c r="D950" s="5" t="n">
        <v>542</v>
      </c>
      <c r="E950" s="6" t="n">
        <v>6.9</v>
      </c>
      <c r="F950" s="6" t="n">
        <v>2750</v>
      </c>
      <c r="G950" s="5"/>
      <c r="H950" s="4" t="n">
        <f aca="false">IFERROR(IF(AND(VLOOKUP($B950,Ref_Acuerdos!$A:$E,2,FALSE())="FTA",$A950&gt;=VLOOKUP($B950,Ref_Acuerdos!$A:$E,3,FALSE())),1,0),0)</f>
        <v>0</v>
      </c>
      <c r="I950" s="4" t="n">
        <f aca="false">IFERROR(IF(AND(VLOOKUP($B950,Ref_Acuerdos!$A:$E,2,FALSE())="PTA",$A950&gt;=VLOOKUP($B950,Ref_Acuerdos!$A:$E,3,FALSE())),1,0),0)</f>
        <v>0</v>
      </c>
      <c r="J950" s="7" t="str">
        <f aca="false">IFERROR(IF($A950&gt;=VLOOKUP($B950,Ref_Acuerdos!$A:$E,3,FALSE()),VLOOKUP($B950,Ref_Acuerdos!$A:$E,4,FALSE()),""),"")</f>
        <v/>
      </c>
      <c r="K950" s="4" t="str">
        <f aca="false">IFERROR(IF($A950&gt;=VLOOKUP($B950,Ref_Acuerdos!$A:$E,3,FALSE()),VLOOKUP($B950,Ref_Acuerdos!$A:$E,5,FALSE()),"Sin FTA/PTA vigente ese año - arancel NMF"),"Sin FTA/PTA identificado - arancel NMF")</f>
        <v>Sin FTA/PTA identificado - arancel NMF</v>
      </c>
    </row>
    <row r="951" customFormat="false" ht="15" hidden="false" customHeight="false" outlineLevel="0" collapsed="false">
      <c r="A951" s="2" t="n">
        <v>2023</v>
      </c>
      <c r="B951" s="2" t="s">
        <v>86</v>
      </c>
      <c r="C951" s="4" t="str">
        <f aca="false">IFERROR(VLOOKUP($B951,Ref_Continente!$A:$B,2,FALSE()),"Sin clasificar")</f>
        <v>North America</v>
      </c>
      <c r="D951" s="5" t="n">
        <v>518</v>
      </c>
      <c r="E951" s="6" t="n">
        <v>42.6</v>
      </c>
      <c r="F951" s="6" t="n">
        <v>1020</v>
      </c>
      <c r="G951" s="5" t="n">
        <v>83812155244.34</v>
      </c>
      <c r="H951" s="4" t="n">
        <f aca="false">IFERROR(IF(AND(VLOOKUP($B951,Ref_Acuerdos!$A:$E,2,FALSE())="FTA",$A951&gt;=VLOOKUP($B951,Ref_Acuerdos!$A:$E,3,FALSE())),1,0),0)</f>
        <v>0</v>
      </c>
      <c r="I951" s="4" t="n">
        <f aca="false">IFERROR(IF(AND(VLOOKUP($B951,Ref_Acuerdos!$A:$E,2,FALSE())="PTA",$A951&gt;=VLOOKUP($B951,Ref_Acuerdos!$A:$E,3,FALSE())),1,0),0)</f>
        <v>1</v>
      </c>
      <c r="J951" s="7" t="n">
        <f aca="false">IFERROR(IF($A951&gt;=VLOOKUP($B951,Ref_Acuerdos!$A:$E,3,FALSE()),VLOOKUP($B951,Ref_Acuerdos!$A:$E,4,FALSE()),""),"")</f>
        <v>10</v>
      </c>
      <c r="K951" s="4" t="str">
        <f aca="false">IFERROR(IF($A951&gt;=VLOOKUP($B951,Ref_Acuerdos!$A:$E,3,FALSE()),VLOOKUP($B951,Ref_Acuerdos!$A:$E,5,FALSE()),"Sin FTA/PTA vigente ese año - arancel NMF"),"Sin FTA/PTA identificado - arancel NMF")</f>
        <v>ALADI - Acuerdo de Alcance Parcial (preferencia limitada, tarifa referencial)</v>
      </c>
    </row>
    <row r="952" customFormat="false" ht="15" hidden="false" customHeight="false" outlineLevel="0" collapsed="false">
      <c r="A952" s="2" t="n">
        <v>2023</v>
      </c>
      <c r="B952" s="2" t="s">
        <v>117</v>
      </c>
      <c r="C952" s="4" t="str">
        <f aca="false">IFERROR(VLOOKUP($B952,Ref_Continente!$A:$B,2,FALSE()),"Sin clasificar")</f>
        <v>Europe</v>
      </c>
      <c r="D952" s="5" t="n">
        <v>450</v>
      </c>
      <c r="E952" s="6" t="n">
        <v>0.4</v>
      </c>
      <c r="F952" s="6" t="n">
        <v>9200</v>
      </c>
      <c r="G952" s="5" t="n">
        <v>3420796653789.08</v>
      </c>
      <c r="H952" s="4" t="n">
        <f aca="false">IFERROR(IF(AND(VLOOKUP($B952,Ref_Acuerdos!$A:$E,2,FALSE())="FTA",$A952&gt;=VLOOKUP($B952,Ref_Acuerdos!$A:$E,3,FALSE())),1,0),0)</f>
        <v>1</v>
      </c>
      <c r="I952" s="4" t="n">
        <f aca="false">IFERROR(IF(AND(VLOOKUP($B952,Ref_Acuerdos!$A:$E,2,FALSE())="PTA",$A952&gt;=VLOOKUP($B952,Ref_Acuerdos!$A:$E,3,FALSE())),1,0),0)</f>
        <v>0</v>
      </c>
      <c r="J952" s="7" t="n">
        <f aca="false">IFERROR(IF($A952&gt;=VLOOKUP($B952,Ref_Acuerdos!$A:$E,3,FALSE()),VLOOKUP($B952,Ref_Acuerdos!$A:$E,4,FALSE()),""),"")</f>
        <v>0</v>
      </c>
      <c r="K952" s="4" t="str">
        <f aca="false">IFERROR(IF($A952&gt;=VLOOKUP($B952,Ref_Acuerdos!$A:$E,3,FALSE()),VLOOKUP($B952,Ref_Acuerdos!$A:$E,5,FALSE()),"Sin FTA/PTA vigente ese año - arancel NMF"),"Sin FTA/PTA identificado - arancel NMF")</f>
        <v>Acuerdo de Continuidad Comercial Ecuador-Reino Unido (post-Brexit), vigente desde 2021</v>
      </c>
    </row>
    <row r="953" customFormat="false" ht="15" hidden="false" customHeight="false" outlineLevel="0" collapsed="false">
      <c r="A953" s="2" t="n">
        <v>2023</v>
      </c>
      <c r="B953" s="2" t="s">
        <v>41</v>
      </c>
      <c r="C953" s="4" t="str">
        <f aca="false">IFERROR(VLOOKUP($B953,Ref_Continente!$A:$B,2,FALSE()),"Sin clasificar")</f>
        <v>Europe</v>
      </c>
      <c r="D953" s="5" t="n">
        <v>430</v>
      </c>
      <c r="E953" s="6" t="n">
        <v>28.6</v>
      </c>
      <c r="F953" s="6" t="n">
        <v>10450</v>
      </c>
      <c r="G953" s="5" t="n">
        <v>295021982462.75</v>
      </c>
      <c r="H953" s="4" t="n">
        <f aca="false">IFERROR(IF(AND(VLOOKUP($B953,Ref_Acuerdos!$A:$E,2,FALSE())="FTA",$A953&gt;=VLOOKUP($B953,Ref_Acuerdos!$A:$E,3,FALSE())),1,0),0)</f>
        <v>1</v>
      </c>
      <c r="I953" s="4" t="n">
        <f aca="false">IFERROR(IF(AND(VLOOKUP($B953,Ref_Acuerdos!$A:$E,2,FALSE())="PTA",$A953&gt;=VLOOKUP($B953,Ref_Acuerdos!$A:$E,3,FALSE())),1,0),0)</f>
        <v>0</v>
      </c>
      <c r="J953" s="7" t="n">
        <f aca="false">IFERROR(IF($A953&gt;=VLOOKUP($B953,Ref_Acuerdos!$A:$E,3,FALSE()),VLOOKUP($B953,Ref_Acuerdos!$A:$E,4,FALSE()),""),"")</f>
        <v>0</v>
      </c>
      <c r="K953" s="4" t="str">
        <f aca="false">IFERROR(IF($A953&gt;=VLOOKUP($B953,Ref_Acuerdos!$A:$E,3,FALSE()),VLOOKUP($B953,Ref_Acuerdos!$A:$E,5,FALSE()),"Sin FTA/PTA vigente ese año - arancel NMF"),"Sin FTA/PTA identificado - arancel NMF")</f>
        <v>UE-Ecuador Acuerdo Multipartes, vigente desde ene-2017</v>
      </c>
    </row>
    <row r="954" customFormat="false" ht="15" hidden="false" customHeight="false" outlineLevel="0" collapsed="false">
      <c r="A954" s="2" t="n">
        <v>2023</v>
      </c>
      <c r="B954" s="2" t="s">
        <v>22</v>
      </c>
      <c r="C954" s="4" t="str">
        <f aca="false">IFERROR(VLOOKUP($B954,Ref_Continente!$A:$B,2,FALSE()),"Sin clasificar")</f>
        <v>Europe</v>
      </c>
      <c r="D954" s="5" t="n">
        <v>302</v>
      </c>
      <c r="E954" s="6" t="n">
        <v>8.4</v>
      </c>
      <c r="F954" s="6" t="n">
        <v>10500</v>
      </c>
      <c r="G954" s="5"/>
      <c r="H954" s="4" t="n">
        <f aca="false">IFERROR(IF(AND(VLOOKUP($B954,Ref_Acuerdos!$A:$E,2,FALSE())="FTA",$A954&gt;=VLOOKUP($B954,Ref_Acuerdos!$A:$E,3,FALSE())),1,0),0)</f>
        <v>0</v>
      </c>
      <c r="I954" s="4" t="n">
        <f aca="false">IFERROR(IF(AND(VLOOKUP($B954,Ref_Acuerdos!$A:$E,2,FALSE())="PTA",$A954&gt;=VLOOKUP($B954,Ref_Acuerdos!$A:$E,3,FALSE())),1,0),0)</f>
        <v>0</v>
      </c>
      <c r="J954" s="7" t="str">
        <f aca="false">IFERROR(IF($A954&gt;=VLOOKUP($B954,Ref_Acuerdos!$A:$E,3,FALSE()),VLOOKUP($B954,Ref_Acuerdos!$A:$E,4,FALSE()),""),"")</f>
        <v/>
      </c>
      <c r="K954" s="4" t="str">
        <f aca="false">IFERROR(IF($A954&gt;=VLOOKUP($B954,Ref_Acuerdos!$A:$E,3,FALSE()),VLOOKUP($B954,Ref_Acuerdos!$A:$E,5,FALSE()),"Sin FTA/PTA vigente ese año - arancel NMF"),"Sin FTA/PTA identificado - arancel NMF")</f>
        <v>Sin FTA/PTA identificado - arancel NMF</v>
      </c>
    </row>
    <row r="955" customFormat="false" ht="15" hidden="false" customHeight="false" outlineLevel="0" collapsed="false">
      <c r="A955" s="2" t="n">
        <v>2023</v>
      </c>
      <c r="B955" s="2" t="s">
        <v>57</v>
      </c>
      <c r="C955" s="4" t="str">
        <f aca="false">IFERROR(VLOOKUP($B955,Ref_Continente!$A:$B,2,FALSE()),"Sin clasificar")</f>
        <v>Europe</v>
      </c>
      <c r="D955" s="5" t="n">
        <v>288</v>
      </c>
      <c r="E955" s="6" t="n">
        <v>0</v>
      </c>
      <c r="F955" s="6" t="n">
        <v>9100</v>
      </c>
      <c r="G955" s="5" t="n">
        <v>567372737459.12</v>
      </c>
      <c r="H955" s="4" t="n">
        <f aca="false">IFERROR(IF(AND(VLOOKUP($B955,Ref_Acuerdos!$A:$E,2,FALSE())="FTA",$A955&gt;=VLOOKUP($B955,Ref_Acuerdos!$A:$E,3,FALSE())),1,0),0)</f>
        <v>1</v>
      </c>
      <c r="I955" s="4" t="n">
        <f aca="false">IFERROR(IF(AND(VLOOKUP($B955,Ref_Acuerdos!$A:$E,2,FALSE())="PTA",$A955&gt;=VLOOKUP($B955,Ref_Acuerdos!$A:$E,3,FALSE())),1,0),0)</f>
        <v>0</v>
      </c>
      <c r="J955" s="7" t="n">
        <f aca="false">IFERROR(IF($A955&gt;=VLOOKUP($B955,Ref_Acuerdos!$A:$E,3,FALSE()),VLOOKUP($B955,Ref_Acuerdos!$A:$E,4,FALSE()),""),"")</f>
        <v>0</v>
      </c>
      <c r="K955" s="4" t="str">
        <f aca="false">IFERROR(IF($A955&gt;=VLOOKUP($B955,Ref_Acuerdos!$A:$E,3,FALSE()),VLOOKUP($B955,Ref_Acuerdos!$A:$E,5,FALSE()),"Sin FTA/PTA vigente ese año - arancel NMF"),"Sin FTA/PTA identificado - arancel NMF")</f>
        <v>UE-Ecuador Acuerdo Multipartes, vigente desde ene-2017</v>
      </c>
    </row>
    <row r="956" customFormat="false" ht="15" hidden="false" customHeight="false" outlineLevel="0" collapsed="false">
      <c r="A956" s="2" t="n">
        <v>2023</v>
      </c>
      <c r="B956" s="2" t="s">
        <v>28</v>
      </c>
      <c r="C956" s="4" t="str">
        <f aca="false">IFERROR(VLOOKUP($B956,Ref_Continente!$A:$B,2,FALSE()),"Sin clasificar")</f>
        <v>Asia</v>
      </c>
      <c r="D956" s="5" t="n">
        <v>250</v>
      </c>
      <c r="E956" s="6" t="n">
        <v>0.2</v>
      </c>
      <c r="F956" s="6" t="n">
        <v>17700</v>
      </c>
      <c r="G956" s="5" t="n">
        <v>381043026173.94</v>
      </c>
      <c r="H956" s="4" t="n">
        <f aca="false">IFERROR(IF(AND(VLOOKUP($B956,Ref_Acuerdos!$A:$E,2,FALSE())="FTA",$A956&gt;=VLOOKUP($B956,Ref_Acuerdos!$A:$E,3,FALSE())),1,0),0)</f>
        <v>0</v>
      </c>
      <c r="I956" s="4" t="n">
        <f aca="false">IFERROR(IF(AND(VLOOKUP($B956,Ref_Acuerdos!$A:$E,2,FALSE())="PTA",$A956&gt;=VLOOKUP($B956,Ref_Acuerdos!$A:$E,3,FALSE())),1,0),0)</f>
        <v>0</v>
      </c>
      <c r="J956" s="7" t="str">
        <f aca="false">IFERROR(IF($A956&gt;=VLOOKUP($B956,Ref_Acuerdos!$A:$E,3,FALSE()),VLOOKUP($B956,Ref_Acuerdos!$A:$E,4,FALSE()),""),"")</f>
        <v/>
      </c>
      <c r="K956" s="4" t="str">
        <f aca="false">IFERROR(IF($A956&gt;=VLOOKUP($B956,Ref_Acuerdos!$A:$E,3,FALSE()),VLOOKUP($B956,Ref_Acuerdos!$A:$E,5,FALSE()),"Sin FTA/PTA vigente ese año - arancel NMF"),"Sin FTA/PTA identificado - arancel NMF")</f>
        <v>Sin FTA/PTA identificado - arancel NMF</v>
      </c>
    </row>
    <row r="957" customFormat="false" ht="15" hidden="false" customHeight="false" outlineLevel="0" collapsed="false">
      <c r="A957" s="2" t="n">
        <v>2023</v>
      </c>
      <c r="B957" s="2" t="s">
        <v>19</v>
      </c>
      <c r="C957" s="4" t="str">
        <f aca="false">IFERROR(VLOOKUP($B957,Ref_Continente!$A:$B,2,FALSE()),"Sin clasificar")</f>
        <v>Europe</v>
      </c>
      <c r="D957" s="5" t="n">
        <v>228</v>
      </c>
      <c r="E957" s="6" t="n">
        <v>4.6</v>
      </c>
      <c r="F957" s="6" t="n">
        <v>10600</v>
      </c>
      <c r="G957" s="5" t="n">
        <v>72478760370.43</v>
      </c>
      <c r="H957" s="4" t="n">
        <f aca="false">IFERROR(IF(AND(VLOOKUP($B957,Ref_Acuerdos!$A:$E,2,FALSE())="FTA",$A957&gt;=VLOOKUP($B957,Ref_Acuerdos!$A:$E,3,FALSE())),1,0),0)</f>
        <v>0</v>
      </c>
      <c r="I957" s="4" t="n">
        <f aca="false">IFERROR(IF(AND(VLOOKUP($B957,Ref_Acuerdos!$A:$E,2,FALSE())="PTA",$A957&gt;=VLOOKUP($B957,Ref_Acuerdos!$A:$E,3,FALSE())),1,0),0)</f>
        <v>0</v>
      </c>
      <c r="J957" s="7" t="str">
        <f aca="false">IFERROR(IF($A957&gt;=VLOOKUP($B957,Ref_Acuerdos!$A:$E,3,FALSE()),VLOOKUP($B957,Ref_Acuerdos!$A:$E,4,FALSE()),""),"")</f>
        <v/>
      </c>
      <c r="K957" s="4" t="str">
        <f aca="false">IFERROR(IF($A957&gt;=VLOOKUP($B957,Ref_Acuerdos!$A:$E,3,FALSE()),VLOOKUP($B957,Ref_Acuerdos!$A:$E,5,FALSE()),"Sin FTA/PTA vigente ese año - arancel NMF"),"Sin FTA/PTA identificado - arancel NMF")</f>
        <v>Sin FTA/PTA identificado - arancel NMF</v>
      </c>
    </row>
    <row r="958" customFormat="false" ht="15" hidden="false" customHeight="false" outlineLevel="0" collapsed="false">
      <c r="A958" s="2" t="n">
        <v>2023</v>
      </c>
      <c r="B958" s="2" t="s">
        <v>27</v>
      </c>
      <c r="C958" s="4" t="str">
        <f aca="false">IFERROR(VLOOKUP($B958,Ref_Continente!$A:$B,2,FALSE()),"Sin clasificar")</f>
        <v>Asia</v>
      </c>
      <c r="D958" s="5" t="n">
        <v>200</v>
      </c>
      <c r="E958" s="6" t="n">
        <v>0.2</v>
      </c>
      <c r="F958" s="6" t="n">
        <v>17000</v>
      </c>
      <c r="G958" s="5" t="n">
        <v>18270356654533.2</v>
      </c>
      <c r="H958" s="4" t="n">
        <f aca="false">IFERROR(IF(AND(VLOOKUP($B958,Ref_Acuerdos!$A:$E,2,FALSE())="FTA",$A958&gt;=VLOOKUP($B958,Ref_Acuerdos!$A:$E,3,FALSE())),1,0),0)</f>
        <v>0</v>
      </c>
      <c r="I958" s="4" t="n">
        <f aca="false">IFERROR(IF(AND(VLOOKUP($B958,Ref_Acuerdos!$A:$E,2,FALSE())="PTA",$A958&gt;=VLOOKUP($B958,Ref_Acuerdos!$A:$E,3,FALSE())),1,0),0)</f>
        <v>0</v>
      </c>
      <c r="J958" s="7" t="str">
        <f aca="false">IFERROR(IF($A958&gt;=VLOOKUP($B958,Ref_Acuerdos!$A:$E,3,FALSE()),VLOOKUP($B958,Ref_Acuerdos!$A:$E,4,FALSE()),""),"")</f>
        <v/>
      </c>
      <c r="K958" s="4" t="str">
        <f aca="false">IFERROR(IF($A958&gt;=VLOOKUP($B958,Ref_Acuerdos!$A:$E,3,FALSE()),VLOOKUP($B958,Ref_Acuerdos!$A:$E,5,FALSE()),"Sin FTA/PTA vigente ese año - arancel NMF"),"Sin FTA/PTA identificado - arancel NMF")</f>
        <v>Sin FTA/PTA vigente ese año - arancel NMF</v>
      </c>
    </row>
    <row r="959" customFormat="false" ht="15" hidden="false" customHeight="false" outlineLevel="0" collapsed="false">
      <c r="A959" s="2" t="n">
        <v>2023</v>
      </c>
      <c r="B959" s="2" t="s">
        <v>51</v>
      </c>
      <c r="C959" s="4" t="str">
        <f aca="false">IFERROR(VLOOKUP($B959,Ref_Continente!$A:$B,2,FALSE()),"Sin clasificar")</f>
        <v>North America</v>
      </c>
      <c r="D959" s="5" t="n">
        <v>200</v>
      </c>
      <c r="E959" s="6" t="n">
        <v>0.2</v>
      </c>
      <c r="F959" s="6" t="n">
        <v>1800</v>
      </c>
      <c r="G959" s="5" t="n">
        <v>34355805527.98</v>
      </c>
      <c r="H959" s="4" t="n">
        <f aca="false">IFERROR(IF(AND(VLOOKUP($B959,Ref_Acuerdos!$A:$E,2,FALSE())="FTA",$A959&gt;=VLOOKUP($B959,Ref_Acuerdos!$A:$E,3,FALSE())),1,0),0)</f>
        <v>0</v>
      </c>
      <c r="I959" s="4" t="n">
        <f aca="false">IFERROR(IF(AND(VLOOKUP($B959,Ref_Acuerdos!$A:$E,2,FALSE())="PTA",$A959&gt;=VLOOKUP($B959,Ref_Acuerdos!$A:$E,3,FALSE())),1,0),0)</f>
        <v>0</v>
      </c>
      <c r="J959" s="7" t="str">
        <f aca="false">IFERROR(IF($A959&gt;=VLOOKUP($B959,Ref_Acuerdos!$A:$E,3,FALSE()),VLOOKUP($B959,Ref_Acuerdos!$A:$E,4,FALSE()),""),"")</f>
        <v/>
      </c>
      <c r="K959" s="4" t="str">
        <f aca="false">IFERROR(IF($A959&gt;=VLOOKUP($B959,Ref_Acuerdos!$A:$E,3,FALSE()),VLOOKUP($B959,Ref_Acuerdos!$A:$E,5,FALSE()),"Sin FTA/PTA vigente ese año - arancel NMF"),"Sin FTA/PTA identificado - arancel NMF")</f>
        <v>Sin FTA/PTA identificado - arancel NMF</v>
      </c>
    </row>
    <row r="960" customFormat="false" ht="15" hidden="false" customHeight="false" outlineLevel="0" collapsed="false">
      <c r="A960" s="2" t="n">
        <v>2023</v>
      </c>
      <c r="B960" s="2" t="s">
        <v>93</v>
      </c>
      <c r="C960" s="4" t="str">
        <f aca="false">IFERROR(VLOOKUP($B960,Ref_Continente!$A:$B,2,FALSE()),"Sin clasificar")</f>
        <v>Asia</v>
      </c>
      <c r="D960" s="5" t="n">
        <v>200</v>
      </c>
      <c r="E960" s="6" t="n">
        <v>0.2</v>
      </c>
      <c r="F960" s="6" t="n">
        <v>15250</v>
      </c>
      <c r="G960" s="5" t="n">
        <v>1844800934391.54</v>
      </c>
      <c r="H960" s="4" t="n">
        <f aca="false">IFERROR(IF(AND(VLOOKUP($B960,Ref_Acuerdos!$A:$E,2,FALSE())="FTA",$A960&gt;=VLOOKUP($B960,Ref_Acuerdos!$A:$E,3,FALSE())),1,0),0)</f>
        <v>0</v>
      </c>
      <c r="I960" s="4" t="n">
        <f aca="false">IFERROR(IF(AND(VLOOKUP($B960,Ref_Acuerdos!$A:$E,2,FALSE())="PTA",$A960&gt;=VLOOKUP($B960,Ref_Acuerdos!$A:$E,3,FALSE())),1,0),0)</f>
        <v>0</v>
      </c>
      <c r="J960" s="7" t="str">
        <f aca="false">IFERROR(IF($A960&gt;=VLOOKUP($B960,Ref_Acuerdos!$A:$E,3,FALSE()),VLOOKUP($B960,Ref_Acuerdos!$A:$E,4,FALSE()),""),"")</f>
        <v/>
      </c>
      <c r="K960" s="4" t="str">
        <f aca="false">IFERROR(IF($A960&gt;=VLOOKUP($B960,Ref_Acuerdos!$A:$E,3,FALSE()),VLOOKUP($B960,Ref_Acuerdos!$A:$E,5,FALSE()),"Sin FTA/PTA vigente ese año - arancel NMF"),"Sin FTA/PTA identificado - arancel NMF")</f>
        <v>Sin FTA/PTA identificado - arancel NMF</v>
      </c>
    </row>
    <row r="961" customFormat="false" ht="15" hidden="false" customHeight="false" outlineLevel="0" collapsed="false">
      <c r="A961" s="2" t="n">
        <v>2023</v>
      </c>
      <c r="B961" s="2" t="s">
        <v>102</v>
      </c>
      <c r="C961" s="4" t="str">
        <f aca="false">IFERROR(VLOOKUP($B961,Ref_Continente!$A:$B,2,FALSE()),"Sin clasificar")</f>
        <v>Asia</v>
      </c>
      <c r="D961" s="5" t="n">
        <v>176</v>
      </c>
      <c r="E961" s="6" t="n">
        <v>0</v>
      </c>
      <c r="F961" s="6" t="n">
        <v>18800</v>
      </c>
      <c r="G961" s="5" t="n">
        <v>505439514078.02</v>
      </c>
      <c r="H961" s="4" t="n">
        <f aca="false">IFERROR(IF(AND(VLOOKUP($B961,Ref_Acuerdos!$A:$E,2,FALSE())="FTA",$A961&gt;=VLOOKUP($B961,Ref_Acuerdos!$A:$E,3,FALSE())),1,0),0)</f>
        <v>0</v>
      </c>
      <c r="I961" s="4" t="n">
        <f aca="false">IFERROR(IF(AND(VLOOKUP($B961,Ref_Acuerdos!$A:$E,2,FALSE())="PTA",$A961&gt;=VLOOKUP($B961,Ref_Acuerdos!$A:$E,3,FALSE())),1,0),0)</f>
        <v>0</v>
      </c>
      <c r="J961" s="7" t="str">
        <f aca="false">IFERROR(IF($A961&gt;=VLOOKUP($B961,Ref_Acuerdos!$A:$E,3,FALSE()),VLOOKUP($B961,Ref_Acuerdos!$A:$E,4,FALSE()),""),"")</f>
        <v/>
      </c>
      <c r="K961" s="4" t="str">
        <f aca="false">IFERROR(IF($A961&gt;=VLOOKUP($B961,Ref_Acuerdos!$A:$E,3,FALSE()),VLOOKUP($B961,Ref_Acuerdos!$A:$E,5,FALSE()),"Sin FTA/PTA vigente ese año - arancel NMF"),"Sin FTA/PTA identificado - arancel NMF")</f>
        <v>Sin FTA/PTA identificado - arancel NMF</v>
      </c>
    </row>
    <row r="962" customFormat="false" ht="15" hidden="false" customHeight="false" outlineLevel="0" collapsed="false">
      <c r="A962" s="2" t="n">
        <v>2023</v>
      </c>
      <c r="B962" s="2" t="s">
        <v>73</v>
      </c>
      <c r="C962" s="4" t="str">
        <f aca="false">IFERROR(VLOOKUP($B962,Ref_Continente!$A:$B,2,FALSE()),"Sin clasificar")</f>
        <v>North America</v>
      </c>
      <c r="D962" s="5" t="n">
        <v>129</v>
      </c>
      <c r="E962" s="6" t="n">
        <v>0</v>
      </c>
      <c r="F962" s="6" t="n">
        <v>3130</v>
      </c>
      <c r="G962" s="5" t="n">
        <v>1798317581486.88</v>
      </c>
      <c r="H962" s="4" t="n">
        <f aca="false">IFERROR(IF(AND(VLOOKUP($B962,Ref_Acuerdos!$A:$E,2,FALSE())="FTA",$A962&gt;=VLOOKUP($B962,Ref_Acuerdos!$A:$E,3,FALSE())),1,0),0)</f>
        <v>0</v>
      </c>
      <c r="I962" s="4" t="n">
        <f aca="false">IFERROR(IF(AND(VLOOKUP($B962,Ref_Acuerdos!$A:$E,2,FALSE())="PTA",$A962&gt;=VLOOKUP($B962,Ref_Acuerdos!$A:$E,3,FALSE())),1,0),0)</f>
        <v>1</v>
      </c>
      <c r="J962" s="7" t="n">
        <f aca="false">IFERROR(IF($A962&gt;=VLOOKUP($B962,Ref_Acuerdos!$A:$E,3,FALSE()),VLOOKUP($B962,Ref_Acuerdos!$A:$E,4,FALSE()),""),"")</f>
        <v>10</v>
      </c>
      <c r="K962" s="4" t="str">
        <f aca="false">IFERROR(IF($A962&gt;=VLOOKUP($B962,Ref_Acuerdos!$A:$E,3,FALSE()),VLOOKUP($B962,Ref_Acuerdos!$A:$E,5,FALSE()),"Sin FTA/PTA vigente ese año - arancel NMF"),"Sin FTA/PTA identificado - arancel NMF")</f>
        <v>ALADI - Acuerdo de Alcance Parcial (preferencia limitada, tarifa referencial)</v>
      </c>
    </row>
    <row r="963" customFormat="false" ht="15" hidden="false" customHeight="false" outlineLevel="0" collapsed="false">
      <c r="A963" s="2" t="n">
        <v>2023</v>
      </c>
      <c r="B963" s="2" t="s">
        <v>18</v>
      </c>
      <c r="C963" s="4" t="str">
        <f aca="false">IFERROR(VLOOKUP($B963,Ref_Continente!$A:$B,2,FALSE()),"Sin clasificar")</f>
        <v>Asia</v>
      </c>
      <c r="D963" s="5" t="n">
        <v>48</v>
      </c>
      <c r="E963" s="6" t="n">
        <v>0</v>
      </c>
      <c r="F963" s="6" t="n">
        <v>13800</v>
      </c>
      <c r="G963" s="5" t="n">
        <v>46192260638.3</v>
      </c>
      <c r="H963" s="4" t="n">
        <f aca="false">IFERROR(IF(AND(VLOOKUP($B963,Ref_Acuerdos!$A:$E,2,FALSE())="FTA",$A963&gt;=VLOOKUP($B963,Ref_Acuerdos!$A:$E,3,FALSE())),1,0),0)</f>
        <v>0</v>
      </c>
      <c r="I963" s="4" t="n">
        <f aca="false">IFERROR(IF(AND(VLOOKUP($B963,Ref_Acuerdos!$A:$E,2,FALSE())="PTA",$A963&gt;=VLOOKUP($B963,Ref_Acuerdos!$A:$E,3,FALSE())),1,0),0)</f>
        <v>0</v>
      </c>
      <c r="J963" s="7" t="str">
        <f aca="false">IFERROR(IF($A963&gt;=VLOOKUP($B963,Ref_Acuerdos!$A:$E,3,FALSE()),VLOOKUP($B963,Ref_Acuerdos!$A:$E,4,FALSE()),""),"")</f>
        <v/>
      </c>
      <c r="K963" s="4" t="str">
        <f aca="false">IFERROR(IF($A963&gt;=VLOOKUP($B963,Ref_Acuerdos!$A:$E,3,FALSE()),VLOOKUP($B963,Ref_Acuerdos!$A:$E,5,FALSE()),"Sin FTA/PTA vigente ese año - arancel NMF"),"Sin FTA/PTA identificado - arancel NMF")</f>
        <v>Sin FTA/PTA identificado - arancel NMF</v>
      </c>
    </row>
    <row r="964" customFormat="false" ht="15" hidden="false" customHeight="false" outlineLevel="0" collapsed="false">
      <c r="A964" s="2" t="n">
        <v>2023</v>
      </c>
      <c r="B964" s="2" t="s">
        <v>106</v>
      </c>
      <c r="C964" s="4" t="str">
        <f aca="false">IFERROR(VLOOKUP($B964,Ref_Continente!$A:$B,2,FALSE()),"Sin clasificar")</f>
        <v>South America</v>
      </c>
      <c r="D964" s="5" t="n">
        <v>48</v>
      </c>
      <c r="E964" s="6" t="n">
        <v>0</v>
      </c>
      <c r="F964" s="6" t="n">
        <v>2830</v>
      </c>
      <c r="G964" s="5" t="n">
        <v>3472693412.08</v>
      </c>
      <c r="H964" s="4" t="n">
        <f aca="false">IFERROR(IF(AND(VLOOKUP($B964,Ref_Acuerdos!$A:$E,2,FALSE())="FTA",$A964&gt;=VLOOKUP($B964,Ref_Acuerdos!$A:$E,3,FALSE())),1,0),0)</f>
        <v>0</v>
      </c>
      <c r="I964" s="4" t="n">
        <f aca="false">IFERROR(IF(AND(VLOOKUP($B964,Ref_Acuerdos!$A:$E,2,FALSE())="PTA",$A964&gt;=VLOOKUP($B964,Ref_Acuerdos!$A:$E,3,FALSE())),1,0),0)</f>
        <v>0</v>
      </c>
      <c r="J964" s="7" t="str">
        <f aca="false">IFERROR(IF($A964&gt;=VLOOKUP($B964,Ref_Acuerdos!$A:$E,3,FALSE()),VLOOKUP($B964,Ref_Acuerdos!$A:$E,4,FALSE()),""),"")</f>
        <v/>
      </c>
      <c r="K964" s="4" t="str">
        <f aca="false">IFERROR(IF($A964&gt;=VLOOKUP($B964,Ref_Acuerdos!$A:$E,3,FALSE()),VLOOKUP($B964,Ref_Acuerdos!$A:$E,5,FALSE()),"Sin FTA/PTA vigente ese año - arancel NMF"),"Sin FTA/PTA identificado - arancel NMF")</f>
        <v>Sin FTA/PTA identificado - arancel NMF</v>
      </c>
    </row>
    <row r="965" customFormat="false" ht="15" hidden="false" customHeight="false" outlineLevel="0" collapsed="false">
      <c r="A965" s="2" t="n">
        <v>2024</v>
      </c>
      <c r="B965" s="2" t="s">
        <v>61</v>
      </c>
      <c r="C965" s="4" t="str">
        <f aca="false">IFERROR(VLOOKUP($B965,Ref_Continente!$A:$B,2,FALSE()),"Sin clasificar")</f>
        <v>Asia</v>
      </c>
      <c r="D965" s="5" t="n">
        <v>5420169</v>
      </c>
      <c r="E965" s="6" t="n">
        <v>780856.8</v>
      </c>
      <c r="F965" s="6" t="n">
        <v>14500</v>
      </c>
      <c r="G965" s="5" t="n">
        <v>4027597523550.58</v>
      </c>
      <c r="H965" s="4" t="n">
        <f aca="false">IFERROR(IF(AND(VLOOKUP($B965,Ref_Acuerdos!$A:$E,2,FALSE())="FTA",$A965&gt;=VLOOKUP($B965,Ref_Acuerdos!$A:$E,3,FALSE())),1,0),0)</f>
        <v>0</v>
      </c>
      <c r="I965" s="4" t="n">
        <f aca="false">IFERROR(IF(AND(VLOOKUP($B965,Ref_Acuerdos!$A:$E,2,FALSE())="PTA",$A965&gt;=VLOOKUP($B965,Ref_Acuerdos!$A:$E,3,FALSE())),1,0),0)</f>
        <v>0</v>
      </c>
      <c r="J965" s="7" t="str">
        <f aca="false">IFERROR(IF($A965&gt;=VLOOKUP($B965,Ref_Acuerdos!$A:$E,3,FALSE()),VLOOKUP($B965,Ref_Acuerdos!$A:$E,4,FALSE()),""),"")</f>
        <v/>
      </c>
      <c r="K965" s="4" t="str">
        <f aca="false">IFERROR(IF($A965&gt;=VLOOKUP($B965,Ref_Acuerdos!$A:$E,3,FALSE()),VLOOKUP($B965,Ref_Acuerdos!$A:$E,5,FALSE()),"Sin FTA/PTA vigente ese año - arancel NMF"),"Sin FTA/PTA identificado - arancel NMF")</f>
        <v>Sin FTA/PTA identificado - arancel NMF</v>
      </c>
    </row>
    <row r="966" customFormat="false" ht="15" hidden="false" customHeight="false" outlineLevel="0" collapsed="false">
      <c r="A966" s="2" t="n">
        <v>2024</v>
      </c>
      <c r="B966" s="2" t="s">
        <v>114</v>
      </c>
      <c r="C966" s="4" t="str">
        <f aca="false">IFERROR(VLOOKUP($B966,Ref_Continente!$A:$B,2,FALSE()),"Sin clasificar")</f>
        <v>North America</v>
      </c>
      <c r="D966" s="5" t="n">
        <v>3402683</v>
      </c>
      <c r="E966" s="6" t="n">
        <v>469872</v>
      </c>
      <c r="F966" s="6" t="n">
        <v>4550</v>
      </c>
      <c r="G966" s="5" t="n">
        <v>28750956130731.2</v>
      </c>
      <c r="H966" s="4" t="n">
        <f aca="false">IFERROR(IF(AND(VLOOKUP($B966,Ref_Acuerdos!$A:$E,2,FALSE())="FTA",$A966&gt;=VLOOKUP($B966,Ref_Acuerdos!$A:$E,3,FALSE())),1,0),0)</f>
        <v>0</v>
      </c>
      <c r="I966" s="4" t="n">
        <f aca="false">IFERROR(IF(AND(VLOOKUP($B966,Ref_Acuerdos!$A:$E,2,FALSE())="PTA",$A966&gt;=VLOOKUP($B966,Ref_Acuerdos!$A:$E,3,FALSE())),1,0),0)</f>
        <v>0</v>
      </c>
      <c r="J966" s="7" t="str">
        <f aca="false">IFERROR(IF($A966&gt;=VLOOKUP($B966,Ref_Acuerdos!$A:$E,3,FALSE()),VLOOKUP($B966,Ref_Acuerdos!$A:$E,4,FALSE()),""),"")</f>
        <v/>
      </c>
      <c r="K966" s="4" t="str">
        <f aca="false">IFERROR(IF($A966&gt;=VLOOKUP($B966,Ref_Acuerdos!$A:$E,3,FALSE()),VLOOKUP($B966,Ref_Acuerdos!$A:$E,5,FALSE()),"Sin FTA/PTA vigente ese año - arancel NMF"),"Sin FTA/PTA identificado - arancel NMF")</f>
        <v>Sin FTA/PTA identificado - arancel NMF</v>
      </c>
    </row>
    <row r="967" customFormat="false" ht="15" hidden="false" customHeight="false" outlineLevel="0" collapsed="false">
      <c r="A967" s="2" t="n">
        <v>2024</v>
      </c>
      <c r="B967" s="2" t="s">
        <v>63</v>
      </c>
      <c r="C967" s="4" t="str">
        <f aca="false">IFERROR(VLOOKUP($B967,Ref_Continente!$A:$B,2,FALSE()),"Sin clasificar")</f>
        <v>Asia</v>
      </c>
      <c r="D967" s="5" t="n">
        <v>3096526</v>
      </c>
      <c r="E967" s="6" t="n">
        <v>654938</v>
      </c>
      <c r="F967" s="6" t="n">
        <v>13600</v>
      </c>
      <c r="G967" s="5" t="n">
        <v>291480274648.83</v>
      </c>
      <c r="H967" s="4" t="n">
        <f aca="false">IFERROR(IF(AND(VLOOKUP($B967,Ref_Acuerdos!$A:$E,2,FALSE())="FTA",$A967&gt;=VLOOKUP($B967,Ref_Acuerdos!$A:$E,3,FALSE())),1,0),0)</f>
        <v>0</v>
      </c>
      <c r="I967" s="4" t="n">
        <f aca="false">IFERROR(IF(AND(VLOOKUP($B967,Ref_Acuerdos!$A:$E,2,FALSE())="PTA",$A967&gt;=VLOOKUP($B967,Ref_Acuerdos!$A:$E,3,FALSE())),1,0),0)</f>
        <v>0</v>
      </c>
      <c r="J967" s="7" t="str">
        <f aca="false">IFERROR(IF($A967&gt;=VLOOKUP($B967,Ref_Acuerdos!$A:$E,3,FALSE()),VLOOKUP($B967,Ref_Acuerdos!$A:$E,4,FALSE()),""),"")</f>
        <v/>
      </c>
      <c r="K967" s="4" t="str">
        <f aca="false">IFERROR(IF($A967&gt;=VLOOKUP($B967,Ref_Acuerdos!$A:$E,3,FALSE()),VLOOKUP($B967,Ref_Acuerdos!$A:$E,5,FALSE()),"Sin FTA/PTA vigente ese año - arancel NMF"),"Sin FTA/PTA identificado - arancel NMF")</f>
        <v>Sin FTA/PTA identificado - arancel NMF</v>
      </c>
    </row>
    <row r="968" customFormat="false" ht="15" hidden="false" customHeight="false" outlineLevel="0" collapsed="false">
      <c r="A968" s="2" t="n">
        <v>2024</v>
      </c>
      <c r="B968" s="2" t="s">
        <v>115</v>
      </c>
      <c r="C968" s="4" t="str">
        <f aca="false">IFERROR(VLOOKUP($B968,Ref_Continente!$A:$B,2,FALSE()),"Sin clasificar")</f>
        <v>Europe</v>
      </c>
      <c r="D968" s="5" t="n">
        <v>843855</v>
      </c>
      <c r="E968" s="6" t="n">
        <v>106789</v>
      </c>
      <c r="F968" s="6" t="n">
        <v>11</v>
      </c>
      <c r="G968" s="5" t="n">
        <v>190741262414.71</v>
      </c>
      <c r="H968" s="4" t="n">
        <f aca="false">IFERROR(IF(AND(VLOOKUP($B968,Ref_Acuerdos!$A:$E,2,FALSE())="FTA",$A968&gt;=VLOOKUP($B968,Ref_Acuerdos!$A:$E,3,FALSE())),1,0),0)</f>
        <v>0</v>
      </c>
      <c r="I968" s="4" t="n">
        <f aca="false">IFERROR(IF(AND(VLOOKUP($B968,Ref_Acuerdos!$A:$E,2,FALSE())="PTA",$A968&gt;=VLOOKUP($B968,Ref_Acuerdos!$A:$E,3,FALSE())),1,0),0)</f>
        <v>0</v>
      </c>
      <c r="J968" s="7" t="str">
        <f aca="false">IFERROR(IF($A968&gt;=VLOOKUP($B968,Ref_Acuerdos!$A:$E,3,FALSE()),VLOOKUP($B968,Ref_Acuerdos!$A:$E,4,FALSE()),""),"")</f>
        <v/>
      </c>
      <c r="K968" s="4" t="str">
        <f aca="false">IFERROR(IF($A968&gt;=VLOOKUP($B968,Ref_Acuerdos!$A:$E,3,FALSE()),VLOOKUP($B968,Ref_Acuerdos!$A:$E,5,FALSE()),"Sin FTA/PTA vigente ese año - arancel NMF"),"Sin FTA/PTA identificado - arancel NMF")</f>
        <v>Sin FTA/PTA identificado - arancel NMF</v>
      </c>
    </row>
    <row r="969" customFormat="false" ht="15" hidden="false" customHeight="false" outlineLevel="0" collapsed="false">
      <c r="A969" s="2" t="n">
        <v>2024</v>
      </c>
      <c r="B969" s="2" t="s">
        <v>77</v>
      </c>
      <c r="C969" s="4" t="str">
        <f aca="false">IFERROR(VLOOKUP($B969,Ref_Continente!$A:$B,2,FALSE()),"Sin clasificar")</f>
        <v>Europe</v>
      </c>
      <c r="D969" s="5" t="n">
        <v>810993</v>
      </c>
      <c r="E969" s="6" t="n">
        <v>155266</v>
      </c>
      <c r="F969" s="6" t="n">
        <v>9300</v>
      </c>
      <c r="G969" s="5" t="n">
        <v>1214927698572.66</v>
      </c>
      <c r="H969" s="4" t="n">
        <f aca="false">IFERROR(IF(AND(VLOOKUP($B969,Ref_Acuerdos!$A:$E,2,FALSE())="FTA",$A969&gt;=VLOOKUP($B969,Ref_Acuerdos!$A:$E,3,FALSE())),1,0),0)</f>
        <v>1</v>
      </c>
      <c r="I969" s="4" t="n">
        <f aca="false">IFERROR(IF(AND(VLOOKUP($B969,Ref_Acuerdos!$A:$E,2,FALSE())="PTA",$A969&gt;=VLOOKUP($B969,Ref_Acuerdos!$A:$E,3,FALSE())),1,0),0)</f>
        <v>0</v>
      </c>
      <c r="J969" s="7" t="n">
        <f aca="false">IFERROR(IF($A969&gt;=VLOOKUP($B969,Ref_Acuerdos!$A:$E,3,FALSE()),VLOOKUP($B969,Ref_Acuerdos!$A:$E,4,FALSE()),""),"")</f>
        <v>0</v>
      </c>
      <c r="K969" s="4" t="str">
        <f aca="false">IFERROR(IF($A969&gt;=VLOOKUP($B969,Ref_Acuerdos!$A:$E,3,FALSE()),VLOOKUP($B969,Ref_Acuerdos!$A:$E,5,FALSE()),"Sin FTA/PTA vigente ese año - arancel NMF"),"Sin FTA/PTA identificado - arancel NMF")</f>
        <v>UE-Ecuador Acuerdo Multipartes, vigente desde ene-2017</v>
      </c>
    </row>
    <row r="970" customFormat="false" ht="15" hidden="false" customHeight="false" outlineLevel="0" collapsed="false">
      <c r="A970" s="2" t="n">
        <v>2024</v>
      </c>
      <c r="B970" s="2" t="s">
        <v>90</v>
      </c>
      <c r="C970" s="4" t="str">
        <f aca="false">IFERROR(VLOOKUP($B970,Ref_Continente!$A:$B,2,FALSE()),"Sin clasificar")</f>
        <v>Europe</v>
      </c>
      <c r="D970" s="5" t="n">
        <v>671869</v>
      </c>
      <c r="E970" s="6" t="n">
        <v>132992.6</v>
      </c>
      <c r="F970" s="6" t="n">
        <v>10300</v>
      </c>
      <c r="G970" s="5" t="n">
        <v>917767106146.76</v>
      </c>
      <c r="H970" s="4" t="n">
        <f aca="false">IFERROR(IF(AND(VLOOKUP($B970,Ref_Acuerdos!$A:$E,2,FALSE())="FTA",$A970&gt;=VLOOKUP($B970,Ref_Acuerdos!$A:$E,3,FALSE())),1,0),0)</f>
        <v>1</v>
      </c>
      <c r="I970" s="4" t="n">
        <f aca="false">IFERROR(IF(AND(VLOOKUP($B970,Ref_Acuerdos!$A:$E,2,FALSE())="PTA",$A970&gt;=VLOOKUP($B970,Ref_Acuerdos!$A:$E,3,FALSE())),1,0),0)</f>
        <v>0</v>
      </c>
      <c r="J970" s="7" t="n">
        <f aca="false">IFERROR(IF($A970&gt;=VLOOKUP($B970,Ref_Acuerdos!$A:$E,3,FALSE()),VLOOKUP($B970,Ref_Acuerdos!$A:$E,4,FALSE()),""),"")</f>
        <v>0</v>
      </c>
      <c r="K970" s="4" t="str">
        <f aca="false">IFERROR(IF($A970&gt;=VLOOKUP($B970,Ref_Acuerdos!$A:$E,3,FALSE()),VLOOKUP($B970,Ref_Acuerdos!$A:$E,5,FALSE()),"Sin FTA/PTA vigente ese año - arancel NMF"),"Sin FTA/PTA identificado - arancel NMF")</f>
        <v>UE-Ecuador Acuerdo Multipartes, vigente desde ene-2017</v>
      </c>
    </row>
    <row r="971" customFormat="false" ht="15" hidden="false" customHeight="false" outlineLevel="0" collapsed="false">
      <c r="A971" s="2" t="n">
        <v>2024</v>
      </c>
      <c r="B971" s="2" t="s">
        <v>26</v>
      </c>
      <c r="C971" s="4" t="str">
        <f aca="false">IFERROR(VLOOKUP($B971,Ref_Continente!$A:$B,2,FALSE()),"Sin clasificar")</f>
        <v>South America</v>
      </c>
      <c r="D971" s="5" t="n">
        <v>615365</v>
      </c>
      <c r="E971" s="6" t="n">
        <v>148016.9</v>
      </c>
      <c r="F971" s="6" t="n">
        <v>2600</v>
      </c>
      <c r="G971" s="5" t="n">
        <v>330267137371.59</v>
      </c>
      <c r="H971" s="4" t="n">
        <f aca="false">IFERROR(IF(AND(VLOOKUP($B971,Ref_Acuerdos!$A:$E,2,FALSE())="FTA",$A971&gt;=VLOOKUP($B971,Ref_Acuerdos!$A:$E,3,FALSE())),1,0),0)</f>
        <v>1</v>
      </c>
      <c r="I971" s="4" t="n">
        <f aca="false">IFERROR(IF(AND(VLOOKUP($B971,Ref_Acuerdos!$A:$E,2,FALSE())="PTA",$A971&gt;=VLOOKUP($B971,Ref_Acuerdos!$A:$E,3,FALSE())),1,0),0)</f>
        <v>0</v>
      </c>
      <c r="J971" s="7" t="n">
        <f aca="false">IFERROR(IF($A971&gt;=VLOOKUP($B971,Ref_Acuerdos!$A:$E,3,FALSE()),VLOOKUP($B971,Ref_Acuerdos!$A:$E,4,FALSE()),""),"")</f>
        <v>0</v>
      </c>
      <c r="K971" s="4" t="str">
        <f aca="false">IFERROR(IF($A971&gt;=VLOOKUP($B971,Ref_Acuerdos!$A:$E,3,FALSE()),VLOOKUP($B971,Ref_Acuerdos!$A:$E,5,FALSE()),"Sin FTA/PTA vigente ese año - arancel NMF"),"Sin FTA/PTA identificado - arancel NMF")</f>
        <v>Ecuador-Chile ACE 65, vigente desde 2010</v>
      </c>
    </row>
    <row r="972" customFormat="false" ht="15" hidden="false" customHeight="false" outlineLevel="0" collapsed="false">
      <c r="A972" s="2" t="n">
        <v>2024</v>
      </c>
      <c r="B972" s="2" t="s">
        <v>12</v>
      </c>
      <c r="C972" s="4" t="str">
        <f aca="false">IFERROR(VLOOKUP($B972,Ref_Continente!$A:$B,2,FALSE()),"Sin clasificar")</f>
        <v>Oceania</v>
      </c>
      <c r="D972" s="5" t="n">
        <v>511737</v>
      </c>
      <c r="E972" s="6" t="n">
        <v>73105.3</v>
      </c>
      <c r="F972" s="6" t="n">
        <v>14000</v>
      </c>
      <c r="G972" s="5" t="n">
        <v>1757022451652.83</v>
      </c>
      <c r="H972" s="4" t="n">
        <f aca="false">IFERROR(IF(AND(VLOOKUP($B972,Ref_Acuerdos!$A:$E,2,FALSE())="FTA",$A972&gt;=VLOOKUP($B972,Ref_Acuerdos!$A:$E,3,FALSE())),1,0),0)</f>
        <v>0</v>
      </c>
      <c r="I972" s="4" t="n">
        <f aca="false">IFERROR(IF(AND(VLOOKUP($B972,Ref_Acuerdos!$A:$E,2,FALSE())="PTA",$A972&gt;=VLOOKUP($B972,Ref_Acuerdos!$A:$E,3,FALSE())),1,0),0)</f>
        <v>0</v>
      </c>
      <c r="J972" s="7" t="str">
        <f aca="false">IFERROR(IF($A972&gt;=VLOOKUP($B972,Ref_Acuerdos!$A:$E,3,FALSE()),VLOOKUP($B972,Ref_Acuerdos!$A:$E,4,FALSE()),""),"")</f>
        <v/>
      </c>
      <c r="K972" s="4" t="str">
        <f aca="false">IFERROR(IF($A972&gt;=VLOOKUP($B972,Ref_Acuerdos!$A:$E,3,FALSE()),VLOOKUP($B972,Ref_Acuerdos!$A:$E,5,FALSE()),"Sin FTA/PTA vigente ese año - arancel NMF"),"Sin FTA/PTA identificado - arancel NMF")</f>
        <v>Sin FTA/PTA identificado - arancel NMF</v>
      </c>
    </row>
    <row r="973" customFormat="false" ht="15" hidden="false" customHeight="false" outlineLevel="0" collapsed="false">
      <c r="A973" s="2" t="n">
        <v>2024</v>
      </c>
      <c r="B973" s="2" t="s">
        <v>37</v>
      </c>
      <c r="C973" s="4" t="str">
        <f aca="false">IFERROR(VLOOKUP($B973,Ref_Continente!$A:$B,2,FALSE()),"Sin clasificar")</f>
        <v>North America</v>
      </c>
      <c r="D973" s="5" t="n">
        <v>287681</v>
      </c>
      <c r="E973" s="6" t="n">
        <v>95153.5</v>
      </c>
      <c r="F973" s="6" t="n">
        <v>2200</v>
      </c>
      <c r="G973" s="5" t="n">
        <v>124282245638.57</v>
      </c>
      <c r="H973" s="4" t="n">
        <f aca="false">IFERROR(IF(AND(VLOOKUP($B973,Ref_Acuerdos!$A:$E,2,FALSE())="FTA",$A973&gt;=VLOOKUP($B973,Ref_Acuerdos!$A:$E,3,FALSE())),1,0),0)</f>
        <v>0</v>
      </c>
      <c r="I973" s="4" t="n">
        <f aca="false">IFERROR(IF(AND(VLOOKUP($B973,Ref_Acuerdos!$A:$E,2,FALSE())="PTA",$A973&gt;=VLOOKUP($B973,Ref_Acuerdos!$A:$E,3,FALSE())),1,0),0)</f>
        <v>0</v>
      </c>
      <c r="J973" s="7" t="str">
        <f aca="false">IFERROR(IF($A973&gt;=VLOOKUP($B973,Ref_Acuerdos!$A:$E,3,FALSE()),VLOOKUP($B973,Ref_Acuerdos!$A:$E,4,FALSE()),""),"")</f>
        <v/>
      </c>
      <c r="K973" s="4" t="str">
        <f aca="false">IFERROR(IF($A973&gt;=VLOOKUP($B973,Ref_Acuerdos!$A:$E,3,FALSE()),VLOOKUP($B973,Ref_Acuerdos!$A:$E,5,FALSE()),"Sin FTA/PTA vigente ese año - arancel NMF"),"Sin FTA/PTA identificado - arancel NMF")</f>
        <v>Sin FTA/PTA identificado - arancel NMF</v>
      </c>
    </row>
    <row r="974" customFormat="false" ht="15" hidden="false" customHeight="false" outlineLevel="0" collapsed="false">
      <c r="A974" s="2" t="n">
        <v>2024</v>
      </c>
      <c r="B974" s="2" t="s">
        <v>113</v>
      </c>
      <c r="C974" s="4" t="str">
        <f aca="false">IFERROR(VLOOKUP($B974,Ref_Continente!$A:$B,2,FALSE()),"Sin clasificar")</f>
        <v>Europe</v>
      </c>
      <c r="D974" s="5" t="n">
        <v>269955</v>
      </c>
      <c r="E974" s="6" t="n">
        <v>47842.9</v>
      </c>
      <c r="F974" s="6" t="n">
        <v>11600</v>
      </c>
      <c r="G974" s="5" t="n">
        <v>1359123768774.12</v>
      </c>
      <c r="H974" s="4" t="n">
        <f aca="false">IFERROR(IF(AND(VLOOKUP($B974,Ref_Acuerdos!$A:$E,2,FALSE())="FTA",$A974&gt;=VLOOKUP($B974,Ref_Acuerdos!$A:$E,3,FALSE())),1,0),0)</f>
        <v>0</v>
      </c>
      <c r="I974" s="4" t="n">
        <f aca="false">IFERROR(IF(AND(VLOOKUP($B974,Ref_Acuerdos!$A:$E,2,FALSE())="PTA",$A974&gt;=VLOOKUP($B974,Ref_Acuerdos!$A:$E,3,FALSE())),1,0),0)</f>
        <v>0</v>
      </c>
      <c r="J974" s="7" t="str">
        <f aca="false">IFERROR(IF($A974&gt;=VLOOKUP($B974,Ref_Acuerdos!$A:$E,3,FALSE()),VLOOKUP($B974,Ref_Acuerdos!$A:$E,4,FALSE()),""),"")</f>
        <v/>
      </c>
      <c r="K974" s="4" t="str">
        <f aca="false">IFERROR(IF($A974&gt;=VLOOKUP($B974,Ref_Acuerdos!$A:$E,3,FALSE()),VLOOKUP($B974,Ref_Acuerdos!$A:$E,5,FALSE()),"Sin FTA/PTA vigente ese año - arancel NMF"),"Sin FTA/PTA identificado - arancel NMF")</f>
        <v>Sin FTA/PTA identificado - arancel NMF</v>
      </c>
    </row>
    <row r="975" customFormat="false" ht="15" hidden="false" customHeight="false" outlineLevel="0" collapsed="false">
      <c r="A975" s="2" t="n">
        <v>2024</v>
      </c>
      <c r="B975" s="2" t="s">
        <v>65</v>
      </c>
      <c r="C975" s="4" t="str">
        <f aca="false">IFERROR(VLOOKUP($B975,Ref_Continente!$A:$B,2,FALSE()),"Sin clasificar")</f>
        <v>Asia</v>
      </c>
      <c r="D975" s="5" t="n">
        <v>230389</v>
      </c>
      <c r="E975" s="6" t="n">
        <v>29207.2</v>
      </c>
      <c r="F975" s="6" t="n">
        <v>14300</v>
      </c>
      <c r="G975" s="5"/>
      <c r="H975" s="4" t="n">
        <f aca="false">IFERROR(IF(AND(VLOOKUP($B975,Ref_Acuerdos!$A:$E,2,FALSE())="FTA",$A975&gt;=VLOOKUP($B975,Ref_Acuerdos!$A:$E,3,FALSE())),1,0),0)</f>
        <v>0</v>
      </c>
      <c r="I975" s="4" t="n">
        <f aca="false">IFERROR(IF(AND(VLOOKUP($B975,Ref_Acuerdos!$A:$E,2,FALSE())="PTA",$A975&gt;=VLOOKUP($B975,Ref_Acuerdos!$A:$E,3,FALSE())),1,0),0)</f>
        <v>0</v>
      </c>
      <c r="J975" s="7" t="str">
        <f aca="false">IFERROR(IF($A975&gt;=VLOOKUP($B975,Ref_Acuerdos!$A:$E,3,FALSE()),VLOOKUP($B975,Ref_Acuerdos!$A:$E,4,FALSE()),""),"")</f>
        <v/>
      </c>
      <c r="K975" s="4" t="str">
        <f aca="false">IFERROR(IF($A975&gt;=VLOOKUP($B975,Ref_Acuerdos!$A:$E,3,FALSE()),VLOOKUP($B975,Ref_Acuerdos!$A:$E,5,FALSE()),"Sin FTA/PTA vigente ese año - arancel NMF"),"Sin FTA/PTA identificado - arancel NMF")</f>
        <v>Sin FTA/PTA identificado - arancel NMF</v>
      </c>
    </row>
    <row r="976" customFormat="false" ht="15" hidden="false" customHeight="false" outlineLevel="0" collapsed="false">
      <c r="A976" s="2" t="n">
        <v>2024</v>
      </c>
      <c r="B976" s="2" t="s">
        <v>88</v>
      </c>
      <c r="C976" s="4" t="str">
        <f aca="false">IFERROR(VLOOKUP($B976,Ref_Continente!$A:$B,2,FALSE()),"Sin clasificar")</f>
        <v>South America</v>
      </c>
      <c r="D976" s="5" t="n">
        <v>159029</v>
      </c>
      <c r="E976" s="6" t="n">
        <v>103881</v>
      </c>
      <c r="F976" s="6" t="n">
        <v>1320</v>
      </c>
      <c r="G976" s="5" t="n">
        <v>289221969062.94</v>
      </c>
      <c r="H976" s="4" t="n">
        <f aca="false">IFERROR(IF(AND(VLOOKUP($B976,Ref_Acuerdos!$A:$E,2,FALSE())="FTA",$A976&gt;=VLOOKUP($B976,Ref_Acuerdos!$A:$E,3,FALSE())),1,0),0)</f>
        <v>0</v>
      </c>
      <c r="I976" s="4" t="n">
        <f aca="false">IFERROR(IF(AND(VLOOKUP($B976,Ref_Acuerdos!$A:$E,2,FALSE())="PTA",$A976&gt;=VLOOKUP($B976,Ref_Acuerdos!$A:$E,3,FALSE())),1,0),0)</f>
        <v>1</v>
      </c>
      <c r="J976" s="7" t="n">
        <f aca="false">IFERROR(IF($A976&gt;=VLOOKUP($B976,Ref_Acuerdos!$A:$E,3,FALSE()),VLOOKUP($B976,Ref_Acuerdos!$A:$E,4,FALSE()),""),"")</f>
        <v>0</v>
      </c>
      <c r="K976" s="4" t="str">
        <f aca="false">IFERROR(IF($A976&gt;=VLOOKUP($B976,Ref_Acuerdos!$A:$E,3,FALSE()),VLOOKUP($B976,Ref_Acuerdos!$A:$E,5,FALSE()),"Sin FTA/PTA vigente ese año - arancel NMF"),"Sin FTA/PTA identificado - arancel NMF")</f>
        <v>Comunidad Andina (CAN) - libre comercio intracomunitario</v>
      </c>
    </row>
    <row r="977" customFormat="false" ht="15" hidden="false" customHeight="false" outlineLevel="0" collapsed="false">
      <c r="A977" s="2" t="n">
        <v>2024</v>
      </c>
      <c r="B977" s="2" t="s">
        <v>96</v>
      </c>
      <c r="C977" s="4" t="str">
        <f aca="false">IFERROR(VLOOKUP($B977,Ref_Continente!$A:$B,2,FALSE()),"Sin clasificar")</f>
        <v>Europe</v>
      </c>
      <c r="D977" s="5" t="n">
        <v>151519</v>
      </c>
      <c r="E977" s="6" t="n">
        <v>22686.6</v>
      </c>
      <c r="F977" s="6" t="n">
        <v>12000</v>
      </c>
      <c r="G977" s="5" t="n">
        <v>2173835806671.66</v>
      </c>
      <c r="H977" s="4" t="n">
        <f aca="false">IFERROR(IF(AND(VLOOKUP($B977,Ref_Acuerdos!$A:$E,2,FALSE())="FTA",$A977&gt;=VLOOKUP($B977,Ref_Acuerdos!$A:$E,3,FALSE())),1,0),0)</f>
        <v>0</v>
      </c>
      <c r="I977" s="4" t="n">
        <f aca="false">IFERROR(IF(AND(VLOOKUP($B977,Ref_Acuerdos!$A:$E,2,FALSE())="PTA",$A977&gt;=VLOOKUP($B977,Ref_Acuerdos!$A:$E,3,FALSE())),1,0),0)</f>
        <v>0</v>
      </c>
      <c r="J977" s="7" t="str">
        <f aca="false">IFERROR(IF($A977&gt;=VLOOKUP($B977,Ref_Acuerdos!$A:$E,3,FALSE()),VLOOKUP($B977,Ref_Acuerdos!$A:$E,4,FALSE()),""),"")</f>
        <v/>
      </c>
      <c r="K977" s="4" t="str">
        <f aca="false">IFERROR(IF($A977&gt;=VLOOKUP($B977,Ref_Acuerdos!$A:$E,3,FALSE()),VLOOKUP($B977,Ref_Acuerdos!$A:$E,5,FALSE()),"Sin FTA/PTA vigente ese año - arancel NMF"),"Sin FTA/PTA identificado - arancel NMF")</f>
        <v>Sin FTA/PTA identificado - arancel NMF</v>
      </c>
    </row>
    <row r="978" customFormat="false" ht="15" hidden="false" customHeight="false" outlineLevel="0" collapsed="false">
      <c r="A978" s="2" t="n">
        <v>2024</v>
      </c>
      <c r="B978" s="2" t="s">
        <v>75</v>
      </c>
      <c r="C978" s="4" t="str">
        <f aca="false">IFERROR(VLOOKUP($B978,Ref_Continente!$A:$B,2,FALSE()),"Sin clasificar")</f>
        <v>Europe</v>
      </c>
      <c r="D978" s="5" t="n">
        <v>150192</v>
      </c>
      <c r="E978" s="6" t="n">
        <v>24526.8</v>
      </c>
      <c r="F978" s="6" t="n">
        <v>10700</v>
      </c>
      <c r="G978" s="5" t="n">
        <v>8270016670.87</v>
      </c>
      <c r="H978" s="4" t="n">
        <f aca="false">IFERROR(IF(AND(VLOOKUP($B978,Ref_Acuerdos!$A:$E,2,FALSE())="FTA",$A978&gt;=VLOOKUP($B978,Ref_Acuerdos!$A:$E,3,FALSE())),1,0),0)</f>
        <v>0</v>
      </c>
      <c r="I978" s="4" t="n">
        <f aca="false">IFERROR(IF(AND(VLOOKUP($B978,Ref_Acuerdos!$A:$E,2,FALSE())="PTA",$A978&gt;=VLOOKUP($B978,Ref_Acuerdos!$A:$E,3,FALSE())),1,0),0)</f>
        <v>0</v>
      </c>
      <c r="J978" s="7" t="str">
        <f aca="false">IFERROR(IF($A978&gt;=VLOOKUP($B978,Ref_Acuerdos!$A:$E,3,FALSE()),VLOOKUP($B978,Ref_Acuerdos!$A:$E,4,FALSE()),""),"")</f>
        <v/>
      </c>
      <c r="K978" s="4" t="str">
        <f aca="false">IFERROR(IF($A978&gt;=VLOOKUP($B978,Ref_Acuerdos!$A:$E,3,FALSE()),VLOOKUP($B978,Ref_Acuerdos!$A:$E,5,FALSE()),"Sin FTA/PTA vigente ese año - arancel NMF"),"Sin FTA/PTA identificado - arancel NMF")</f>
        <v>Sin FTA/PTA identificado - arancel NMF</v>
      </c>
    </row>
    <row r="979" customFormat="false" ht="15" hidden="false" customHeight="false" outlineLevel="0" collapsed="false">
      <c r="A979" s="2" t="n">
        <v>2024</v>
      </c>
      <c r="B979" s="2" t="s">
        <v>95</v>
      </c>
      <c r="C979" s="4" t="str">
        <f aca="false">IFERROR(VLOOKUP($B979,Ref_Continente!$A:$B,2,FALSE()),"Sin clasificar")</f>
        <v>Europe</v>
      </c>
      <c r="D979" s="5" t="n">
        <v>123949</v>
      </c>
      <c r="E979" s="6" t="n">
        <v>27251.2</v>
      </c>
      <c r="F979" s="6" t="n">
        <v>11300</v>
      </c>
      <c r="G979" s="5" t="n">
        <v>382564217988.87</v>
      </c>
      <c r="H979" s="4" t="n">
        <f aca="false">IFERROR(IF(AND(VLOOKUP($B979,Ref_Acuerdos!$A:$E,2,FALSE())="FTA",$A979&gt;=VLOOKUP($B979,Ref_Acuerdos!$A:$E,3,FALSE())),1,0),0)</f>
        <v>1</v>
      </c>
      <c r="I979" s="4" t="n">
        <f aca="false">IFERROR(IF(AND(VLOOKUP($B979,Ref_Acuerdos!$A:$E,2,FALSE())="PTA",$A979&gt;=VLOOKUP($B979,Ref_Acuerdos!$A:$E,3,FALSE())),1,0),0)</f>
        <v>0</v>
      </c>
      <c r="J979" s="7" t="n">
        <f aca="false">IFERROR(IF($A979&gt;=VLOOKUP($B979,Ref_Acuerdos!$A:$E,3,FALSE()),VLOOKUP($B979,Ref_Acuerdos!$A:$E,4,FALSE()),""),"")</f>
        <v>0</v>
      </c>
      <c r="K979" s="4" t="str">
        <f aca="false">IFERROR(IF($A979&gt;=VLOOKUP($B979,Ref_Acuerdos!$A:$E,3,FALSE()),VLOOKUP($B979,Ref_Acuerdos!$A:$E,5,FALSE()),"Sin FTA/PTA vigente ese año - arancel NMF"),"Sin FTA/PTA identificado - arancel NMF")</f>
        <v>UE-Ecuador Acuerdo Multipartes, vigente desde ene-2017</v>
      </c>
    </row>
    <row r="980" customFormat="false" ht="15" hidden="false" customHeight="false" outlineLevel="0" collapsed="false">
      <c r="A980" s="2" t="n">
        <v>2024</v>
      </c>
      <c r="B980" s="2" t="s">
        <v>116</v>
      </c>
      <c r="C980" s="4" t="str">
        <f aca="false">IFERROR(VLOOKUP($B980,Ref_Continente!$A:$B,2,FALSE()),"Sin clasificar")</f>
        <v>Asia</v>
      </c>
      <c r="D980" s="5" t="n">
        <v>102497</v>
      </c>
      <c r="E980" s="6" t="n">
        <v>22595.3</v>
      </c>
      <c r="F980" s="6" t="n">
        <v>14200</v>
      </c>
      <c r="G980" s="5" t="n">
        <v>552324846834.58</v>
      </c>
      <c r="H980" s="4" t="n">
        <f aca="false">IFERROR(IF(AND(VLOOKUP($B980,Ref_Acuerdos!$A:$E,2,FALSE())="FTA",$A980&gt;=VLOOKUP($B980,Ref_Acuerdos!$A:$E,3,FALSE())),1,0),0)</f>
        <v>0</v>
      </c>
      <c r="I980" s="4" t="n">
        <f aca="false">IFERROR(IF(AND(VLOOKUP($B980,Ref_Acuerdos!$A:$E,2,FALSE())="PTA",$A980&gt;=VLOOKUP($B980,Ref_Acuerdos!$A:$E,3,FALSE())),1,0),0)</f>
        <v>0</v>
      </c>
      <c r="J980" s="7" t="str">
        <f aca="false">IFERROR(IF($A980&gt;=VLOOKUP($B980,Ref_Acuerdos!$A:$E,3,FALSE()),VLOOKUP($B980,Ref_Acuerdos!$A:$E,4,FALSE()),""),"")</f>
        <v/>
      </c>
      <c r="K980" s="4" t="str">
        <f aca="false">IFERROR(IF($A980&gt;=VLOOKUP($B980,Ref_Acuerdos!$A:$E,3,FALSE()),VLOOKUP($B980,Ref_Acuerdos!$A:$E,5,FALSE()),"Sin FTA/PTA vigente ese año - arancel NMF"),"Sin FTA/PTA identificado - arancel NMF")</f>
        <v>Sin FTA/PTA identificado - arancel NMF</v>
      </c>
    </row>
    <row r="981" customFormat="false" ht="15" hidden="false" customHeight="false" outlineLevel="0" collapsed="false">
      <c r="A981" s="2" t="n">
        <v>2024</v>
      </c>
      <c r="B981" s="2" t="s">
        <v>29</v>
      </c>
      <c r="C981" s="4" t="str">
        <f aca="false">IFERROR(VLOOKUP($B981,Ref_Continente!$A:$B,2,FALSE()),"Sin clasificar")</f>
        <v>South America</v>
      </c>
      <c r="D981" s="5" t="n">
        <v>92786</v>
      </c>
      <c r="E981" s="6" t="n">
        <v>14831.8</v>
      </c>
      <c r="F981" s="6" t="n">
        <v>720</v>
      </c>
      <c r="G981" s="5" t="n">
        <v>418818154879.27</v>
      </c>
      <c r="H981" s="4" t="n">
        <f aca="false">IFERROR(IF(AND(VLOOKUP($B981,Ref_Acuerdos!$A:$E,2,FALSE())="FTA",$A981&gt;=VLOOKUP($B981,Ref_Acuerdos!$A:$E,3,FALSE())),1,0),0)</f>
        <v>0</v>
      </c>
      <c r="I981" s="4" t="n">
        <f aca="false">IFERROR(IF(AND(VLOOKUP($B981,Ref_Acuerdos!$A:$E,2,FALSE())="PTA",$A981&gt;=VLOOKUP($B981,Ref_Acuerdos!$A:$E,3,FALSE())),1,0),0)</f>
        <v>1</v>
      </c>
      <c r="J981" s="7" t="n">
        <f aca="false">IFERROR(IF($A981&gt;=VLOOKUP($B981,Ref_Acuerdos!$A:$E,3,FALSE()),VLOOKUP($B981,Ref_Acuerdos!$A:$E,4,FALSE()),""),"")</f>
        <v>0</v>
      </c>
      <c r="K981" s="4" t="str">
        <f aca="false">IFERROR(IF($A981&gt;=VLOOKUP($B981,Ref_Acuerdos!$A:$E,3,FALSE()),VLOOKUP($B981,Ref_Acuerdos!$A:$E,5,FALSE()),"Sin FTA/PTA vigente ese año - arancel NMF"),"Sin FTA/PTA identificado - arancel NMF")</f>
        <v>Comunidad Andina (CAN) - libre comercio intracomunitario</v>
      </c>
    </row>
    <row r="982" customFormat="false" ht="15" hidden="false" customHeight="false" outlineLevel="0" collapsed="false">
      <c r="A982" s="2" t="n">
        <v>2024</v>
      </c>
      <c r="B982" s="2" t="s">
        <v>35</v>
      </c>
      <c r="C982" s="4" t="str">
        <f aca="false">IFERROR(VLOOKUP($B982,Ref_Continente!$A:$B,2,FALSE()),"Sin clasificar")</f>
        <v>Europe</v>
      </c>
      <c r="D982" s="5" t="n">
        <v>75759</v>
      </c>
      <c r="E982" s="6" t="n">
        <v>19921.1</v>
      </c>
      <c r="F982" s="6" t="n">
        <v>10100</v>
      </c>
      <c r="G982" s="5" t="n">
        <v>347034062928.48</v>
      </c>
      <c r="H982" s="4" t="n">
        <f aca="false">IFERROR(IF(AND(VLOOKUP($B982,Ref_Acuerdos!$A:$E,2,FALSE())="FTA",$A982&gt;=VLOOKUP($B982,Ref_Acuerdos!$A:$E,3,FALSE())),1,0),0)</f>
        <v>1</v>
      </c>
      <c r="I982" s="4" t="n">
        <f aca="false">IFERROR(IF(AND(VLOOKUP($B982,Ref_Acuerdos!$A:$E,2,FALSE())="PTA",$A982&gt;=VLOOKUP($B982,Ref_Acuerdos!$A:$E,3,FALSE())),1,0),0)</f>
        <v>0</v>
      </c>
      <c r="J982" s="7" t="n">
        <f aca="false">IFERROR(IF($A982&gt;=VLOOKUP($B982,Ref_Acuerdos!$A:$E,3,FALSE()),VLOOKUP($B982,Ref_Acuerdos!$A:$E,4,FALSE()),""),"")</f>
        <v>0</v>
      </c>
      <c r="K982" s="4" t="str">
        <f aca="false">IFERROR(IF($A982&gt;=VLOOKUP($B982,Ref_Acuerdos!$A:$E,3,FALSE()),VLOOKUP($B982,Ref_Acuerdos!$A:$E,5,FALSE()),"Sin FTA/PTA vigente ese año - arancel NMF"),"Sin FTA/PTA identificado - arancel NMF")</f>
        <v>UE-Ecuador Acuerdo Multipartes, vigente desde ene-2017</v>
      </c>
    </row>
    <row r="983" customFormat="false" ht="15" hidden="false" customHeight="false" outlineLevel="0" collapsed="false">
      <c r="A983" s="2" t="n">
        <v>2024</v>
      </c>
      <c r="B983" s="2" t="s">
        <v>87</v>
      </c>
      <c r="C983" s="4" t="str">
        <f aca="false">IFERROR(VLOOKUP($B983,Ref_Continente!$A:$B,2,FALSE()),"Sin clasificar")</f>
        <v>South America</v>
      </c>
      <c r="D983" s="5" t="n">
        <v>72656</v>
      </c>
      <c r="E983" s="6" t="n">
        <v>14014.8</v>
      </c>
      <c r="F983" s="6" t="n">
        <v>3600</v>
      </c>
      <c r="G983" s="5" t="n">
        <v>44458118397.44</v>
      </c>
      <c r="H983" s="4" t="n">
        <f aca="false">IFERROR(IF(AND(VLOOKUP($B983,Ref_Acuerdos!$A:$E,2,FALSE())="FTA",$A983&gt;=VLOOKUP($B983,Ref_Acuerdos!$A:$E,3,FALSE())),1,0),0)</f>
        <v>0</v>
      </c>
      <c r="I983" s="4" t="n">
        <f aca="false">IFERROR(IF(AND(VLOOKUP($B983,Ref_Acuerdos!$A:$E,2,FALSE())="PTA",$A983&gt;=VLOOKUP($B983,Ref_Acuerdos!$A:$E,3,FALSE())),1,0),0)</f>
        <v>1</v>
      </c>
      <c r="J983" s="7" t="n">
        <f aca="false">IFERROR(IF($A983&gt;=VLOOKUP($B983,Ref_Acuerdos!$A:$E,3,FALSE()),VLOOKUP($B983,Ref_Acuerdos!$A:$E,4,FALSE()),""),"")</f>
        <v>5</v>
      </c>
      <c r="K983" s="4" t="str">
        <f aca="false">IFERROR(IF($A983&gt;=VLOOKUP($B983,Ref_Acuerdos!$A:$E,3,FALSE()),VLOOKUP($B983,Ref_Acuerdos!$A:$E,5,FALSE()),"Sin FTA/PTA vigente ese año - arancel NMF"),"Sin FTA/PTA identificado - arancel NMF")</f>
        <v>Ecuador-Mercosur ACE 59 - preferencias parciales (tarifa referencial)</v>
      </c>
    </row>
    <row r="984" customFormat="false" ht="15" hidden="false" customHeight="false" outlineLevel="0" collapsed="false">
      <c r="A984" s="2" t="n">
        <v>2024</v>
      </c>
      <c r="B984" s="2" t="s">
        <v>59</v>
      </c>
      <c r="C984" s="4" t="str">
        <f aca="false">IFERROR(VLOOKUP($B984,Ref_Continente!$A:$B,2,FALSE()),"Sin clasificar")</f>
        <v>Europe</v>
      </c>
      <c r="D984" s="5" t="n">
        <v>70727</v>
      </c>
      <c r="E984" s="6" t="n">
        <v>8586.3</v>
      </c>
      <c r="F984" s="6" t="n">
        <v>10100</v>
      </c>
      <c r="G984" s="5" t="n">
        <v>2380825077243.59</v>
      </c>
      <c r="H984" s="4" t="n">
        <f aca="false">IFERROR(IF(AND(VLOOKUP($B984,Ref_Acuerdos!$A:$E,2,FALSE())="FTA",$A984&gt;=VLOOKUP($B984,Ref_Acuerdos!$A:$E,3,FALSE())),1,0),0)</f>
        <v>1</v>
      </c>
      <c r="I984" s="4" t="n">
        <f aca="false">IFERROR(IF(AND(VLOOKUP($B984,Ref_Acuerdos!$A:$E,2,FALSE())="PTA",$A984&gt;=VLOOKUP($B984,Ref_Acuerdos!$A:$E,3,FALSE())),1,0),0)</f>
        <v>0</v>
      </c>
      <c r="J984" s="7" t="n">
        <f aca="false">IFERROR(IF($A984&gt;=VLOOKUP($B984,Ref_Acuerdos!$A:$E,3,FALSE()),VLOOKUP($B984,Ref_Acuerdos!$A:$E,4,FALSE()),""),"")</f>
        <v>0</v>
      </c>
      <c r="K984" s="4" t="str">
        <f aca="false">IFERROR(IF($A984&gt;=VLOOKUP($B984,Ref_Acuerdos!$A:$E,3,FALSE()),VLOOKUP($B984,Ref_Acuerdos!$A:$E,5,FALSE()),"Sin FTA/PTA vigente ese año - arancel NMF"),"Sin FTA/PTA identificado - arancel NMF")</f>
        <v>UE-Ecuador Acuerdo Multipartes, vigente desde ene-2017</v>
      </c>
    </row>
    <row r="985" customFormat="false" ht="15" hidden="false" customHeight="false" outlineLevel="0" collapsed="false">
      <c r="A985" s="2" t="n">
        <v>2024</v>
      </c>
      <c r="B985" s="2" t="s">
        <v>45</v>
      </c>
      <c r="C985" s="4" t="str">
        <f aca="false">IFERROR(VLOOKUP($B985,Ref_Continente!$A:$B,2,FALSE()),"Sin clasificar")</f>
        <v>Europe</v>
      </c>
      <c r="D985" s="5" t="n">
        <v>57434</v>
      </c>
      <c r="E985" s="6" t="n">
        <v>9172.1</v>
      </c>
      <c r="F985" s="6" t="n">
        <v>9650</v>
      </c>
      <c r="G985" s="5" t="n">
        <v>4685592577804.69</v>
      </c>
      <c r="H985" s="4" t="n">
        <f aca="false">IFERROR(IF(AND(VLOOKUP($B985,Ref_Acuerdos!$A:$E,2,FALSE())="FTA",$A985&gt;=VLOOKUP($B985,Ref_Acuerdos!$A:$E,3,FALSE())),1,0),0)</f>
        <v>1</v>
      </c>
      <c r="I985" s="4" t="n">
        <f aca="false">IFERROR(IF(AND(VLOOKUP($B985,Ref_Acuerdos!$A:$E,2,FALSE())="PTA",$A985&gt;=VLOOKUP($B985,Ref_Acuerdos!$A:$E,3,FALSE())),1,0),0)</f>
        <v>0</v>
      </c>
      <c r="J985" s="7" t="n">
        <f aca="false">IFERROR(IF($A985&gt;=VLOOKUP($B985,Ref_Acuerdos!$A:$E,3,FALSE()),VLOOKUP($B985,Ref_Acuerdos!$A:$E,4,FALSE()),""),"")</f>
        <v>0</v>
      </c>
      <c r="K985" s="4" t="str">
        <f aca="false">IFERROR(IF($A985&gt;=VLOOKUP($B985,Ref_Acuerdos!$A:$E,3,FALSE()),VLOOKUP($B985,Ref_Acuerdos!$A:$E,5,FALSE()),"Sin FTA/PTA vigente ese año - arancel NMF"),"Sin FTA/PTA identificado - arancel NMF")</f>
        <v>UE-Ecuador Acuerdo Multipartes, vigente desde ene-2017</v>
      </c>
    </row>
    <row r="986" customFormat="false" ht="15" hidden="false" customHeight="false" outlineLevel="0" collapsed="false">
      <c r="A986" s="2" t="n">
        <v>2024</v>
      </c>
      <c r="B986" s="2" t="s">
        <v>109</v>
      </c>
      <c r="C986" s="4" t="str">
        <f aca="false">IFERROR(VLOOKUP($B986,Ref_Continente!$A:$B,2,FALSE()),"Sin clasificar")</f>
        <v>Asia</v>
      </c>
      <c r="D986" s="5" t="n">
        <v>51710</v>
      </c>
      <c r="E986" s="6" t="n">
        <v>10234.4</v>
      </c>
      <c r="F986" s="6" t="n">
        <v>14300</v>
      </c>
      <c r="G986" s="5" t="n">
        <v>14204575548.55</v>
      </c>
      <c r="H986" s="4" t="n">
        <f aca="false">IFERROR(IF(AND(VLOOKUP($B986,Ref_Acuerdos!$A:$E,2,FALSE())="FTA",$A986&gt;=VLOOKUP($B986,Ref_Acuerdos!$A:$E,3,FALSE())),1,0),0)</f>
        <v>0</v>
      </c>
      <c r="I986" s="4" t="n">
        <f aca="false">IFERROR(IF(AND(VLOOKUP($B986,Ref_Acuerdos!$A:$E,2,FALSE())="PTA",$A986&gt;=VLOOKUP($B986,Ref_Acuerdos!$A:$E,3,FALSE())),1,0),0)</f>
        <v>0</v>
      </c>
      <c r="J986" s="7" t="str">
        <f aca="false">IFERROR(IF($A986&gt;=VLOOKUP($B986,Ref_Acuerdos!$A:$E,3,FALSE()),VLOOKUP($B986,Ref_Acuerdos!$A:$E,4,FALSE()),""),"")</f>
        <v/>
      </c>
      <c r="K986" s="4" t="str">
        <f aca="false">IFERROR(IF($A986&gt;=VLOOKUP($B986,Ref_Acuerdos!$A:$E,3,FALSE()),VLOOKUP($B986,Ref_Acuerdos!$A:$E,5,FALSE()),"Sin FTA/PTA vigente ese año - arancel NMF"),"Sin FTA/PTA identificado - arancel NMF")</f>
        <v>Sin FTA/PTA identificado - arancel NMF</v>
      </c>
    </row>
    <row r="987" customFormat="false" ht="15" hidden="false" customHeight="false" outlineLevel="0" collapsed="false">
      <c r="A987" s="2" t="n">
        <v>2024</v>
      </c>
      <c r="B987" s="2" t="s">
        <v>80</v>
      </c>
      <c r="C987" s="4" t="str">
        <f aca="false">IFERROR(VLOOKUP($B987,Ref_Continente!$A:$B,2,FALSE()),"Sin clasificar")</f>
        <v>North America</v>
      </c>
      <c r="D987" s="5" t="n">
        <v>51539</v>
      </c>
      <c r="E987" s="6" t="n">
        <v>12584.3</v>
      </c>
      <c r="F987" s="6" t="n">
        <v>1730</v>
      </c>
      <c r="G987" s="5" t="n">
        <v>19693982967.59</v>
      </c>
      <c r="H987" s="4" t="n">
        <f aca="false">IFERROR(IF(AND(VLOOKUP($B987,Ref_Acuerdos!$A:$E,2,FALSE())="FTA",$A987&gt;=VLOOKUP($B987,Ref_Acuerdos!$A:$E,3,FALSE())),1,0),0)</f>
        <v>0</v>
      </c>
      <c r="I987" s="4" t="n">
        <f aca="false">IFERROR(IF(AND(VLOOKUP($B987,Ref_Acuerdos!$A:$E,2,FALSE())="PTA",$A987&gt;=VLOOKUP($B987,Ref_Acuerdos!$A:$E,3,FALSE())),1,0),0)</f>
        <v>1</v>
      </c>
      <c r="J987" s="7" t="n">
        <f aca="false">IFERROR(IF($A987&gt;=VLOOKUP($B987,Ref_Acuerdos!$A:$E,3,FALSE()),VLOOKUP($B987,Ref_Acuerdos!$A:$E,4,FALSE()),""),"")</f>
        <v>10</v>
      </c>
      <c r="K987" s="4" t="str">
        <f aca="false">IFERROR(IF($A987&gt;=VLOOKUP($B987,Ref_Acuerdos!$A:$E,3,FALSE()),VLOOKUP($B987,Ref_Acuerdos!$A:$E,5,FALSE()),"Sin FTA/PTA vigente ese año - arancel NMF"),"Sin FTA/PTA identificado - arancel NMF")</f>
        <v>ALADI - Acuerdo de Alcance Parcial (preferencia limitada, tarifa referencial)</v>
      </c>
    </row>
    <row r="988" customFormat="false" ht="15" hidden="false" customHeight="false" outlineLevel="0" collapsed="false">
      <c r="A988" s="2" t="n">
        <v>2024</v>
      </c>
      <c r="B988" s="2" t="s">
        <v>92</v>
      </c>
      <c r="C988" s="4" t="str">
        <f aca="false">IFERROR(VLOOKUP($B988,Ref_Continente!$A:$B,2,FALSE()),"Sin clasificar")</f>
        <v>Asia</v>
      </c>
      <c r="D988" s="5" t="n">
        <v>50147</v>
      </c>
      <c r="E988" s="6" t="n">
        <v>10183.4</v>
      </c>
      <c r="F988" s="6" t="n">
        <v>14000</v>
      </c>
      <c r="G988" s="5" t="n">
        <v>219162637362.64</v>
      </c>
      <c r="H988" s="4" t="n">
        <f aca="false">IFERROR(IF(AND(VLOOKUP($B988,Ref_Acuerdos!$A:$E,2,FALSE())="FTA",$A988&gt;=VLOOKUP($B988,Ref_Acuerdos!$A:$E,3,FALSE())),1,0),0)</f>
        <v>0</v>
      </c>
      <c r="I988" s="4" t="n">
        <f aca="false">IFERROR(IF(AND(VLOOKUP($B988,Ref_Acuerdos!$A:$E,2,FALSE())="PTA",$A988&gt;=VLOOKUP($B988,Ref_Acuerdos!$A:$E,3,FALSE())),1,0),0)</f>
        <v>0</v>
      </c>
      <c r="J988" s="7" t="str">
        <f aca="false">IFERROR(IF($A988&gt;=VLOOKUP($B988,Ref_Acuerdos!$A:$E,3,FALSE()),VLOOKUP($B988,Ref_Acuerdos!$A:$E,4,FALSE()),""),"")</f>
        <v/>
      </c>
      <c r="K988" s="4" t="str">
        <f aca="false">IFERROR(IF($A988&gt;=VLOOKUP($B988,Ref_Acuerdos!$A:$E,3,FALSE()),VLOOKUP($B988,Ref_Acuerdos!$A:$E,5,FALSE()),"Sin FTA/PTA vigente ese año - arancel NMF"),"Sin FTA/PTA identificado - arancel NMF")</f>
        <v>Sin FTA/PTA identificado - arancel NMF</v>
      </c>
    </row>
    <row r="989" customFormat="false" ht="15" hidden="false" customHeight="false" outlineLevel="0" collapsed="false">
      <c r="A989" s="2" t="n">
        <v>2024</v>
      </c>
      <c r="B989" s="2" t="s">
        <v>108</v>
      </c>
      <c r="C989" s="4" t="str">
        <f aca="false">IFERROR(VLOOKUP($B989,Ref_Continente!$A:$B,2,FALSE()),"Sin clasificar")</f>
        <v>Europe</v>
      </c>
      <c r="D989" s="5" t="n">
        <v>46621</v>
      </c>
      <c r="E989" s="6" t="n">
        <v>6816</v>
      </c>
      <c r="F989" s="6" t="n">
        <v>9800</v>
      </c>
      <c r="G989" s="5" t="n">
        <v>936564198048.52</v>
      </c>
      <c r="H989" s="4" t="n">
        <f aca="false">IFERROR(IF(AND(VLOOKUP($B989,Ref_Acuerdos!$A:$E,2,FALSE())="FTA",$A989&gt;=VLOOKUP($B989,Ref_Acuerdos!$A:$E,3,FALSE())),1,0),0)</f>
        <v>1</v>
      </c>
      <c r="I989" s="4" t="n">
        <f aca="false">IFERROR(IF(AND(VLOOKUP($B989,Ref_Acuerdos!$A:$E,2,FALSE())="PTA",$A989&gt;=VLOOKUP($B989,Ref_Acuerdos!$A:$E,3,FALSE())),1,0),0)</f>
        <v>0</v>
      </c>
      <c r="J989" s="7" t="n">
        <f aca="false">IFERROR(IF($A989&gt;=VLOOKUP($B989,Ref_Acuerdos!$A:$E,3,FALSE()),VLOOKUP($B989,Ref_Acuerdos!$A:$E,4,FALSE()),""),"")</f>
        <v>0</v>
      </c>
      <c r="K989" s="4" t="str">
        <f aca="false">IFERROR(IF($A989&gt;=VLOOKUP($B989,Ref_Acuerdos!$A:$E,3,FALSE()),VLOOKUP($B989,Ref_Acuerdos!$A:$E,5,FALSE()),"Sin FTA/PTA vigente ese año - arancel NMF"),"Sin FTA/PTA identificado - arancel NMF")</f>
        <v>EFTA-Ecuador, vigente desde nov-2020</v>
      </c>
    </row>
    <row r="990" customFormat="false" ht="15" hidden="false" customHeight="false" outlineLevel="0" collapsed="false">
      <c r="A990" s="2" t="n">
        <v>2024</v>
      </c>
      <c r="B990" s="2" t="s">
        <v>118</v>
      </c>
      <c r="C990" s="4" t="str">
        <f aca="false">IFERROR(VLOOKUP($B990,Ref_Continente!$A:$B,2,FALSE()),"Sin clasificar")</f>
        <v>South America</v>
      </c>
      <c r="D990" s="5" t="n">
        <v>39971</v>
      </c>
      <c r="E990" s="6" t="n">
        <v>8263.1</v>
      </c>
      <c r="F990" s="6" t="n">
        <v>4650</v>
      </c>
      <c r="G990" s="5" t="n">
        <v>80961511073.58</v>
      </c>
      <c r="H990" s="4" t="n">
        <f aca="false">IFERROR(IF(AND(VLOOKUP($B990,Ref_Acuerdos!$A:$E,2,FALSE())="FTA",$A990&gt;=VLOOKUP($B990,Ref_Acuerdos!$A:$E,3,FALSE())),1,0),0)</f>
        <v>0</v>
      </c>
      <c r="I990" s="4" t="n">
        <f aca="false">IFERROR(IF(AND(VLOOKUP($B990,Ref_Acuerdos!$A:$E,2,FALSE())="PTA",$A990&gt;=VLOOKUP($B990,Ref_Acuerdos!$A:$E,3,FALSE())),1,0),0)</f>
        <v>1</v>
      </c>
      <c r="J990" s="7" t="n">
        <f aca="false">IFERROR(IF($A990&gt;=VLOOKUP($B990,Ref_Acuerdos!$A:$E,3,FALSE()),VLOOKUP($B990,Ref_Acuerdos!$A:$E,4,FALSE()),""),"")</f>
        <v>5</v>
      </c>
      <c r="K990" s="4" t="str">
        <f aca="false">IFERROR(IF($A990&gt;=VLOOKUP($B990,Ref_Acuerdos!$A:$E,3,FALSE()),VLOOKUP($B990,Ref_Acuerdos!$A:$E,5,FALSE()),"Sin FTA/PTA vigente ese año - arancel NMF"),"Sin FTA/PTA identificado - arancel NMF")</f>
        <v>Ecuador-Mercosur ACE 59 - preferencias parciales (tarifa referencial)</v>
      </c>
    </row>
    <row r="991" customFormat="false" ht="15" hidden="false" customHeight="false" outlineLevel="0" collapsed="false">
      <c r="A991" s="2" t="n">
        <v>2024</v>
      </c>
      <c r="B991" s="2" t="s">
        <v>117</v>
      </c>
      <c r="C991" s="4" t="str">
        <f aca="false">IFERROR(VLOOKUP($B991,Ref_Continente!$A:$B,2,FALSE()),"Sin clasificar")</f>
        <v>Europe</v>
      </c>
      <c r="D991" s="5" t="n">
        <v>33255</v>
      </c>
      <c r="E991" s="6" t="n">
        <v>6187.5</v>
      </c>
      <c r="F991" s="6" t="n">
        <v>9200</v>
      </c>
      <c r="G991" s="5" t="n">
        <v>3686033044482.13</v>
      </c>
      <c r="H991" s="4" t="n">
        <f aca="false">IFERROR(IF(AND(VLOOKUP($B991,Ref_Acuerdos!$A:$E,2,FALSE())="FTA",$A991&gt;=VLOOKUP($B991,Ref_Acuerdos!$A:$E,3,FALSE())),1,0),0)</f>
        <v>1</v>
      </c>
      <c r="I991" s="4" t="n">
        <f aca="false">IFERROR(IF(AND(VLOOKUP($B991,Ref_Acuerdos!$A:$E,2,FALSE())="PTA",$A991&gt;=VLOOKUP($B991,Ref_Acuerdos!$A:$E,3,FALSE())),1,0),0)</f>
        <v>0</v>
      </c>
      <c r="J991" s="7" t="n">
        <f aca="false">IFERROR(IF($A991&gt;=VLOOKUP($B991,Ref_Acuerdos!$A:$E,3,FALSE()),VLOOKUP($B991,Ref_Acuerdos!$A:$E,4,FALSE()),""),"")</f>
        <v>0</v>
      </c>
      <c r="K991" s="4" t="str">
        <f aca="false">IFERROR(IF($A991&gt;=VLOOKUP($B991,Ref_Acuerdos!$A:$E,3,FALSE()),VLOOKUP($B991,Ref_Acuerdos!$A:$E,5,FALSE()),"Sin FTA/PTA vigente ese año - arancel NMF"),"Sin FTA/PTA identificado - arancel NMF")</f>
        <v>Acuerdo de Continuidad Comercial Ecuador-Reino Unido (post-Brexit), vigente desde 2021</v>
      </c>
    </row>
    <row r="992" customFormat="false" ht="15" hidden="false" customHeight="false" outlineLevel="0" collapsed="false">
      <c r="A992" s="2" t="n">
        <v>2024</v>
      </c>
      <c r="B992" s="2" t="s">
        <v>105</v>
      </c>
      <c r="C992" s="4" t="str">
        <f aca="false">IFERROR(VLOOKUP($B992,Ref_Continente!$A:$B,2,FALSE()),"Sin clasificar")</f>
        <v>Europe</v>
      </c>
      <c r="D992" s="5" t="n">
        <v>32690</v>
      </c>
      <c r="E992" s="6" t="n">
        <v>7603.3</v>
      </c>
      <c r="F992" s="6" t="n">
        <v>8700</v>
      </c>
      <c r="G992" s="5" t="n">
        <v>1725671652742.19</v>
      </c>
      <c r="H992" s="4" t="n">
        <f aca="false">IFERROR(IF(AND(VLOOKUP($B992,Ref_Acuerdos!$A:$E,2,FALSE())="FTA",$A992&gt;=VLOOKUP($B992,Ref_Acuerdos!$A:$E,3,FALSE())),1,0),0)</f>
        <v>1</v>
      </c>
      <c r="I992" s="4" t="n">
        <f aca="false">IFERROR(IF(AND(VLOOKUP($B992,Ref_Acuerdos!$A:$E,2,FALSE())="PTA",$A992&gt;=VLOOKUP($B992,Ref_Acuerdos!$A:$E,3,FALSE())),1,0),0)</f>
        <v>0</v>
      </c>
      <c r="J992" s="7" t="n">
        <f aca="false">IFERROR(IF($A992&gt;=VLOOKUP($B992,Ref_Acuerdos!$A:$E,3,FALSE()),VLOOKUP($B992,Ref_Acuerdos!$A:$E,4,FALSE()),""),"")</f>
        <v>0</v>
      </c>
      <c r="K992" s="4" t="str">
        <f aca="false">IFERROR(IF($A992&gt;=VLOOKUP($B992,Ref_Acuerdos!$A:$E,3,FALSE()),VLOOKUP($B992,Ref_Acuerdos!$A:$E,5,FALSE()),"Sin FTA/PTA vigente ese año - arancel NMF"),"Sin FTA/PTA identificado - arancel NMF")</f>
        <v>UE-Ecuador Acuerdo Multipartes, vigente desde ene-2017</v>
      </c>
    </row>
    <row r="993" customFormat="false" ht="15" hidden="false" customHeight="false" outlineLevel="0" collapsed="false">
      <c r="A993" s="2" t="n">
        <v>2024</v>
      </c>
      <c r="B993" s="2" t="s">
        <v>94</v>
      </c>
      <c r="C993" s="4" t="str">
        <f aca="false">IFERROR(VLOOKUP($B993,Ref_Continente!$A:$B,2,FALSE()),"Sin clasificar")</f>
        <v>Europe</v>
      </c>
      <c r="D993" s="5" t="n">
        <v>31476</v>
      </c>
      <c r="E993" s="6" t="n">
        <v>7701.6</v>
      </c>
      <c r="F993" s="6" t="n">
        <v>11000</v>
      </c>
      <c r="G993" s="5" t="n">
        <v>18200340853.65</v>
      </c>
      <c r="H993" s="4" t="n">
        <f aca="false">IFERROR(IF(AND(VLOOKUP($B993,Ref_Acuerdos!$A:$E,2,FALSE())="FTA",$A993&gt;=VLOOKUP($B993,Ref_Acuerdos!$A:$E,3,FALSE())),1,0),0)</f>
        <v>0</v>
      </c>
      <c r="I993" s="4" t="n">
        <f aca="false">IFERROR(IF(AND(VLOOKUP($B993,Ref_Acuerdos!$A:$E,2,FALSE())="PTA",$A993&gt;=VLOOKUP($B993,Ref_Acuerdos!$A:$E,3,FALSE())),1,0),0)</f>
        <v>0</v>
      </c>
      <c r="J993" s="7" t="str">
        <f aca="false">IFERROR(IF($A993&gt;=VLOOKUP($B993,Ref_Acuerdos!$A:$E,3,FALSE()),VLOOKUP($B993,Ref_Acuerdos!$A:$E,4,FALSE()),""),"")</f>
        <v/>
      </c>
      <c r="K993" s="4" t="str">
        <f aca="false">IFERROR(IF($A993&gt;=VLOOKUP($B993,Ref_Acuerdos!$A:$E,3,FALSE()),VLOOKUP($B993,Ref_Acuerdos!$A:$E,5,FALSE()),"Sin FTA/PTA vigente ese año - arancel NMF"),"Sin FTA/PTA identificado - arancel NMF")</f>
        <v>Sin FTA/PTA identificado - arancel NMF</v>
      </c>
    </row>
    <row r="994" customFormat="false" ht="15" hidden="false" customHeight="false" outlineLevel="0" collapsed="false">
      <c r="A994" s="2" t="n">
        <v>2024</v>
      </c>
      <c r="B994" s="2" t="s">
        <v>39</v>
      </c>
      <c r="C994" s="4" t="str">
        <f aca="false">IFERROR(VLOOKUP($B994,Ref_Continente!$A:$B,2,FALSE()),"Sin clasificar")</f>
        <v>North America</v>
      </c>
      <c r="D994" s="5" t="n">
        <v>27618</v>
      </c>
      <c r="E994" s="6" t="n">
        <v>6828.8</v>
      </c>
      <c r="F994" s="6" t="n">
        <v>2000</v>
      </c>
      <c r="G994" s="5" t="n">
        <v>35364960000</v>
      </c>
      <c r="H994" s="4" t="n">
        <f aca="false">IFERROR(IF(AND(VLOOKUP($B994,Ref_Acuerdos!$A:$E,2,FALSE())="FTA",$A994&gt;=VLOOKUP($B994,Ref_Acuerdos!$A:$E,3,FALSE())),1,0),0)</f>
        <v>0</v>
      </c>
      <c r="I994" s="4" t="n">
        <f aca="false">IFERROR(IF(AND(VLOOKUP($B994,Ref_Acuerdos!$A:$E,2,FALSE())="PTA",$A994&gt;=VLOOKUP($B994,Ref_Acuerdos!$A:$E,3,FALSE())),1,0),0)</f>
        <v>0</v>
      </c>
      <c r="J994" s="7" t="str">
        <f aca="false">IFERROR(IF($A994&gt;=VLOOKUP($B994,Ref_Acuerdos!$A:$E,3,FALSE()),VLOOKUP($B994,Ref_Acuerdos!$A:$E,4,FALSE()),""),"")</f>
        <v/>
      </c>
      <c r="K994" s="4" t="str">
        <f aca="false">IFERROR(IF($A994&gt;=VLOOKUP($B994,Ref_Acuerdos!$A:$E,3,FALSE()),VLOOKUP($B994,Ref_Acuerdos!$A:$E,5,FALSE()),"Sin FTA/PTA vigente ese año - arancel NMF"),"Sin FTA/PTA identificado - arancel NMF")</f>
        <v>Sin FTA/PTA identificado - arancel NMF</v>
      </c>
    </row>
    <row r="995" customFormat="false" ht="15" hidden="false" customHeight="false" outlineLevel="0" collapsed="false">
      <c r="A995" s="2" t="n">
        <v>2024</v>
      </c>
      <c r="B995" s="2" t="s">
        <v>25</v>
      </c>
      <c r="C995" s="4" t="str">
        <f aca="false">IFERROR(VLOOKUP($B995,Ref_Continente!$A:$B,2,FALSE()),"Sin clasificar")</f>
        <v>North America</v>
      </c>
      <c r="D995" s="5" t="n">
        <v>25054</v>
      </c>
      <c r="E995" s="6" t="n">
        <v>4899.2</v>
      </c>
      <c r="F995" s="6" t="n">
        <v>5900</v>
      </c>
      <c r="G995" s="5" t="n">
        <v>2243636826633.76</v>
      </c>
      <c r="H995" s="4" t="n">
        <f aca="false">IFERROR(IF(AND(VLOOKUP($B995,Ref_Acuerdos!$A:$E,2,FALSE())="FTA",$A995&gt;=VLOOKUP($B995,Ref_Acuerdos!$A:$E,3,FALSE())),1,0),0)</f>
        <v>0</v>
      </c>
      <c r="I995" s="4" t="n">
        <f aca="false">IFERROR(IF(AND(VLOOKUP($B995,Ref_Acuerdos!$A:$E,2,FALSE())="PTA",$A995&gt;=VLOOKUP($B995,Ref_Acuerdos!$A:$E,3,FALSE())),1,0),0)</f>
        <v>0</v>
      </c>
      <c r="J995" s="7" t="str">
        <f aca="false">IFERROR(IF($A995&gt;=VLOOKUP($B995,Ref_Acuerdos!$A:$E,3,FALSE()),VLOOKUP($B995,Ref_Acuerdos!$A:$E,4,FALSE()),""),"")</f>
        <v/>
      </c>
      <c r="K995" s="4" t="str">
        <f aca="false">IFERROR(IF($A995&gt;=VLOOKUP($B995,Ref_Acuerdos!$A:$E,3,FALSE()),VLOOKUP($B995,Ref_Acuerdos!$A:$E,5,FALSE()),"Sin FTA/PTA vigente ese año - arancel NMF"),"Sin FTA/PTA identificado - arancel NMF")</f>
        <v>Sin FTA/PTA identificado - arancel NMF</v>
      </c>
    </row>
    <row r="996" customFormat="false" ht="15" hidden="false" customHeight="false" outlineLevel="0" collapsed="false">
      <c r="A996" s="2" t="n">
        <v>2024</v>
      </c>
      <c r="B996" s="2" t="s">
        <v>64</v>
      </c>
      <c r="C996" s="4" t="str">
        <f aca="false">IFERROR(VLOOKUP($B996,Ref_Continente!$A:$B,2,FALSE()),"Sin clasificar")</f>
        <v>Asia</v>
      </c>
      <c r="D996" s="5" t="n">
        <v>24075</v>
      </c>
      <c r="E996" s="6" t="n">
        <v>5537.9</v>
      </c>
      <c r="F996" s="6" t="n">
        <v>13500</v>
      </c>
      <c r="G996" s="5" t="n">
        <v>160227273053.33</v>
      </c>
      <c r="H996" s="4" t="n">
        <f aca="false">IFERROR(IF(AND(VLOOKUP($B996,Ref_Acuerdos!$A:$E,2,FALSE())="FTA",$A996&gt;=VLOOKUP($B996,Ref_Acuerdos!$A:$E,3,FALSE())),1,0),0)</f>
        <v>0</v>
      </c>
      <c r="I996" s="4" t="n">
        <f aca="false">IFERROR(IF(AND(VLOOKUP($B996,Ref_Acuerdos!$A:$E,2,FALSE())="PTA",$A996&gt;=VLOOKUP($B996,Ref_Acuerdos!$A:$E,3,FALSE())),1,0),0)</f>
        <v>0</v>
      </c>
      <c r="J996" s="7" t="str">
        <f aca="false">IFERROR(IF($A996&gt;=VLOOKUP($B996,Ref_Acuerdos!$A:$E,3,FALSE()),VLOOKUP($B996,Ref_Acuerdos!$A:$E,4,FALSE()),""),"")</f>
        <v/>
      </c>
      <c r="K996" s="4" t="str">
        <f aca="false">IFERROR(IF($A996&gt;=VLOOKUP($B996,Ref_Acuerdos!$A:$E,3,FALSE()),VLOOKUP($B996,Ref_Acuerdos!$A:$E,5,FALSE()),"Sin FTA/PTA vigente ese año - arancel NMF"),"Sin FTA/PTA identificado - arancel NMF")</f>
        <v>Sin FTA/PTA identificado - arancel NMF</v>
      </c>
    </row>
    <row r="997" customFormat="false" ht="15" hidden="false" customHeight="false" outlineLevel="0" collapsed="false">
      <c r="A997" s="2" t="n">
        <v>2024</v>
      </c>
      <c r="B997" s="2" t="s">
        <v>44</v>
      </c>
      <c r="C997" s="4" t="str">
        <f aca="false">IFERROR(VLOOKUP($B997,Ref_Continente!$A:$B,2,FALSE()),"Sin clasificar")</f>
        <v>Asia</v>
      </c>
      <c r="D997" s="5" t="n">
        <v>17549</v>
      </c>
      <c r="E997" s="6" t="n">
        <v>3573.8</v>
      </c>
      <c r="F997" s="6" t="n">
        <v>11600</v>
      </c>
      <c r="G997" s="5" t="n">
        <v>34189423545</v>
      </c>
      <c r="H997" s="4" t="n">
        <f aca="false">IFERROR(IF(AND(VLOOKUP($B997,Ref_Acuerdos!$A:$E,2,FALSE())="FTA",$A997&gt;=VLOOKUP($B997,Ref_Acuerdos!$A:$E,3,FALSE())),1,0),0)</f>
        <v>0</v>
      </c>
      <c r="I997" s="4" t="n">
        <f aca="false">IFERROR(IF(AND(VLOOKUP($B997,Ref_Acuerdos!$A:$E,2,FALSE())="PTA",$A997&gt;=VLOOKUP($B997,Ref_Acuerdos!$A:$E,3,FALSE())),1,0),0)</f>
        <v>0</v>
      </c>
      <c r="J997" s="7" t="str">
        <f aca="false">IFERROR(IF($A997&gt;=VLOOKUP($B997,Ref_Acuerdos!$A:$E,3,FALSE()),VLOOKUP($B997,Ref_Acuerdos!$A:$E,4,FALSE()),""),"")</f>
        <v/>
      </c>
      <c r="K997" s="4" t="str">
        <f aca="false">IFERROR(IF($A997&gt;=VLOOKUP($B997,Ref_Acuerdos!$A:$E,3,FALSE()),VLOOKUP($B997,Ref_Acuerdos!$A:$E,5,FALSE()),"Sin FTA/PTA vigente ese año - arancel NMF"),"Sin FTA/PTA identificado - arancel NMF")</f>
        <v>Sin FTA/PTA identificado - arancel NMF</v>
      </c>
    </row>
    <row r="998" customFormat="false" ht="15" hidden="false" customHeight="false" outlineLevel="0" collapsed="false">
      <c r="A998" s="2" t="n">
        <v>2024</v>
      </c>
      <c r="B998" s="2" t="s">
        <v>91</v>
      </c>
      <c r="C998" s="4" t="str">
        <f aca="false">IFERROR(VLOOKUP($B998,Ref_Continente!$A:$B,2,FALSE()),"Sin clasificar")</f>
        <v>Europe</v>
      </c>
      <c r="D998" s="5" t="n">
        <v>15993</v>
      </c>
      <c r="E998" s="6" t="n">
        <v>3579.2</v>
      </c>
      <c r="F998" s="6" t="n">
        <v>8700</v>
      </c>
      <c r="G998" s="5" t="n">
        <v>313271185085.1</v>
      </c>
      <c r="H998" s="4" t="n">
        <f aca="false">IFERROR(IF(AND(VLOOKUP($B998,Ref_Acuerdos!$A:$E,2,FALSE())="FTA",$A998&gt;=VLOOKUP($B998,Ref_Acuerdos!$A:$E,3,FALSE())),1,0),0)</f>
        <v>1</v>
      </c>
      <c r="I998" s="4" t="n">
        <f aca="false">IFERROR(IF(AND(VLOOKUP($B998,Ref_Acuerdos!$A:$E,2,FALSE())="PTA",$A998&gt;=VLOOKUP($B998,Ref_Acuerdos!$A:$E,3,FALSE())),1,0),0)</f>
        <v>0</v>
      </c>
      <c r="J998" s="7" t="n">
        <f aca="false">IFERROR(IF($A998&gt;=VLOOKUP($B998,Ref_Acuerdos!$A:$E,3,FALSE()),VLOOKUP($B998,Ref_Acuerdos!$A:$E,4,FALSE()),""),"")</f>
        <v>0</v>
      </c>
      <c r="K998" s="4" t="str">
        <f aca="false">IFERROR(IF($A998&gt;=VLOOKUP($B998,Ref_Acuerdos!$A:$E,3,FALSE()),VLOOKUP($B998,Ref_Acuerdos!$A:$E,5,FALSE()),"Sin FTA/PTA vigente ese año - arancel NMF"),"Sin FTA/PTA identificado - arancel NMF")</f>
        <v>UE-Ecuador Acuerdo Multipartes, vigente desde ene-2017</v>
      </c>
    </row>
    <row r="999" customFormat="false" ht="15" hidden="false" customHeight="false" outlineLevel="0" collapsed="false">
      <c r="A999" s="2" t="n">
        <v>2024</v>
      </c>
      <c r="B999" s="2" t="s">
        <v>54</v>
      </c>
      <c r="C999" s="4" t="str">
        <f aca="false">IFERROR(VLOOKUP($B999,Ref_Continente!$A:$B,2,FALSE()),"Sin clasificar")</f>
        <v>Asia</v>
      </c>
      <c r="D999" s="5" t="n">
        <v>15373</v>
      </c>
      <c r="E999" s="6" t="n">
        <v>2802.9</v>
      </c>
      <c r="F999" s="6" t="n">
        <v>19300</v>
      </c>
      <c r="G999" s="5" t="n">
        <v>1396300098190.97</v>
      </c>
      <c r="H999" s="4" t="n">
        <f aca="false">IFERROR(IF(AND(VLOOKUP($B999,Ref_Acuerdos!$A:$E,2,FALSE())="FTA",$A999&gt;=VLOOKUP($B999,Ref_Acuerdos!$A:$E,3,FALSE())),1,0),0)</f>
        <v>0</v>
      </c>
      <c r="I999" s="4" t="n">
        <f aca="false">IFERROR(IF(AND(VLOOKUP($B999,Ref_Acuerdos!$A:$E,2,FALSE())="PTA",$A999&gt;=VLOOKUP($B999,Ref_Acuerdos!$A:$E,3,FALSE())),1,0),0)</f>
        <v>0</v>
      </c>
      <c r="J999" s="7" t="str">
        <f aca="false">IFERROR(IF($A999&gt;=VLOOKUP($B999,Ref_Acuerdos!$A:$E,3,FALSE()),VLOOKUP($B999,Ref_Acuerdos!$A:$E,4,FALSE()),""),"")</f>
        <v/>
      </c>
      <c r="K999" s="4" t="str">
        <f aca="false">IFERROR(IF($A999&gt;=VLOOKUP($B999,Ref_Acuerdos!$A:$E,3,FALSE()),VLOOKUP($B999,Ref_Acuerdos!$A:$E,5,FALSE()),"Sin FTA/PTA vigente ese año - arancel NMF"),"Sin FTA/PTA identificado - arancel NMF")</f>
        <v>Sin FTA/PTA identificado - arancel NMF</v>
      </c>
    </row>
    <row r="1000" customFormat="false" ht="15" hidden="false" customHeight="false" outlineLevel="0" collapsed="false">
      <c r="A1000" s="2" t="n">
        <v>2024</v>
      </c>
      <c r="B1000" s="2" t="s">
        <v>52</v>
      </c>
      <c r="C1000" s="4" t="str">
        <f aca="false">IFERROR(VLOOKUP($B1000,Ref_Continente!$A:$B,2,FALSE()),"Sin clasificar")</f>
        <v>Europe</v>
      </c>
      <c r="D1000" s="5" t="n">
        <v>13231</v>
      </c>
      <c r="E1000" s="6" t="n">
        <v>2158.3</v>
      </c>
      <c r="F1000" s="6" t="n">
        <v>10350</v>
      </c>
      <c r="G1000" s="5" t="n">
        <v>222722738925.64</v>
      </c>
      <c r="H1000" s="4" t="n">
        <f aca="false">IFERROR(IF(AND(VLOOKUP($B1000,Ref_Acuerdos!$A:$E,2,FALSE())="FTA",$A1000&gt;=VLOOKUP($B1000,Ref_Acuerdos!$A:$E,3,FALSE())),1,0),0)</f>
        <v>1</v>
      </c>
      <c r="I1000" s="4" t="n">
        <f aca="false">IFERROR(IF(AND(VLOOKUP($B1000,Ref_Acuerdos!$A:$E,2,FALSE())="PTA",$A1000&gt;=VLOOKUP($B1000,Ref_Acuerdos!$A:$E,3,FALSE())),1,0),0)</f>
        <v>0</v>
      </c>
      <c r="J1000" s="7" t="n">
        <f aca="false">IFERROR(IF($A1000&gt;=VLOOKUP($B1000,Ref_Acuerdos!$A:$E,3,FALSE()),VLOOKUP($B1000,Ref_Acuerdos!$A:$E,4,FALSE()),""),"")</f>
        <v>0</v>
      </c>
      <c r="K1000" s="4" t="str">
        <f aca="false">IFERROR(IF($A1000&gt;=VLOOKUP($B1000,Ref_Acuerdos!$A:$E,3,FALSE()),VLOOKUP($B1000,Ref_Acuerdos!$A:$E,5,FALSE()),"Sin FTA/PTA vigente ese año - arancel NMF"),"Sin FTA/PTA identificado - arancel NMF")</f>
        <v>UE-Ecuador Acuerdo Multipartes, vigente desde ene-2017</v>
      </c>
    </row>
    <row r="1001" customFormat="false" ht="15" hidden="false" customHeight="false" outlineLevel="0" collapsed="false">
      <c r="A1001" s="2" t="n">
        <v>2024</v>
      </c>
      <c r="B1001" s="2" t="s">
        <v>60</v>
      </c>
      <c r="C1001" s="4" t="str">
        <f aca="false">IFERROR(VLOOKUP($B1001,Ref_Continente!$A:$B,2,FALSE()),"Sin clasificar")</f>
        <v>North America</v>
      </c>
      <c r="D1001" s="5" t="n">
        <v>12339</v>
      </c>
      <c r="E1001" s="6" t="n">
        <v>3987.2</v>
      </c>
      <c r="F1001" s="6" t="n">
        <v>1900</v>
      </c>
      <c r="G1001" s="5" t="n">
        <v>22014397089.77</v>
      </c>
      <c r="H1001" s="4" t="n">
        <f aca="false">IFERROR(IF(AND(VLOOKUP($B1001,Ref_Acuerdos!$A:$E,2,FALSE())="FTA",$A1001&gt;=VLOOKUP($B1001,Ref_Acuerdos!$A:$E,3,FALSE())),1,0),0)</f>
        <v>0</v>
      </c>
      <c r="I1001" s="4" t="n">
        <f aca="false">IFERROR(IF(AND(VLOOKUP($B1001,Ref_Acuerdos!$A:$E,2,FALSE())="PTA",$A1001&gt;=VLOOKUP($B1001,Ref_Acuerdos!$A:$E,3,FALSE())),1,0),0)</f>
        <v>0</v>
      </c>
      <c r="J1001" s="7" t="str">
        <f aca="false">IFERROR(IF($A1001&gt;=VLOOKUP($B1001,Ref_Acuerdos!$A:$E,3,FALSE()),VLOOKUP($B1001,Ref_Acuerdos!$A:$E,4,FALSE()),""),"")</f>
        <v/>
      </c>
      <c r="K1001" s="4" t="str">
        <f aca="false">IFERROR(IF($A1001&gt;=VLOOKUP($B1001,Ref_Acuerdos!$A:$E,3,FALSE()),VLOOKUP($B1001,Ref_Acuerdos!$A:$E,5,FALSE()),"Sin FTA/PTA vigente ese año - arancel NMF"),"Sin FTA/PTA identificado - arancel NMF")</f>
        <v>Sin FTA/PTA identificado - arancel NMF</v>
      </c>
    </row>
    <row r="1002" customFormat="false" ht="15" hidden="false" customHeight="false" outlineLevel="0" collapsed="false">
      <c r="A1002" s="2" t="n">
        <v>2024</v>
      </c>
      <c r="B1002" s="2" t="s">
        <v>100</v>
      </c>
      <c r="C1002" s="4" t="str">
        <f aca="false">IFERROR(VLOOKUP($B1002,Ref_Continente!$A:$B,2,FALSE()),"Sin clasificar")</f>
        <v>Asia</v>
      </c>
      <c r="D1002" s="5" t="n">
        <v>10188</v>
      </c>
      <c r="E1002" s="6" t="n">
        <v>3367.4</v>
      </c>
      <c r="F1002" s="6" t="n">
        <v>13800</v>
      </c>
      <c r="G1002" s="5" t="n">
        <v>1239804533333.33</v>
      </c>
      <c r="H1002" s="4" t="n">
        <f aca="false">IFERROR(IF(AND(VLOOKUP($B1002,Ref_Acuerdos!$A:$E,2,FALSE())="FTA",$A1002&gt;=VLOOKUP($B1002,Ref_Acuerdos!$A:$E,3,FALSE())),1,0),0)</f>
        <v>0</v>
      </c>
      <c r="I1002" s="4" t="n">
        <f aca="false">IFERROR(IF(AND(VLOOKUP($B1002,Ref_Acuerdos!$A:$E,2,FALSE())="PTA",$A1002&gt;=VLOOKUP($B1002,Ref_Acuerdos!$A:$E,3,FALSE())),1,0),0)</f>
        <v>0</v>
      </c>
      <c r="J1002" s="7" t="str">
        <f aca="false">IFERROR(IF($A1002&gt;=VLOOKUP($B1002,Ref_Acuerdos!$A:$E,3,FALSE()),VLOOKUP($B1002,Ref_Acuerdos!$A:$E,4,FALSE()),""),"")</f>
        <v/>
      </c>
      <c r="K1002" s="4" t="str">
        <f aca="false">IFERROR(IF($A1002&gt;=VLOOKUP($B1002,Ref_Acuerdos!$A:$E,3,FALSE()),VLOOKUP($B1002,Ref_Acuerdos!$A:$E,5,FALSE()),"Sin FTA/PTA vigente ese año - arancel NMF"),"Sin FTA/PTA identificado - arancel NMF")</f>
        <v>Sin FTA/PTA identificado - arancel NMF</v>
      </c>
    </row>
    <row r="1003" customFormat="false" ht="15" hidden="false" customHeight="false" outlineLevel="0" collapsed="false">
      <c r="A1003" s="2" t="n">
        <v>2024</v>
      </c>
      <c r="B1003" s="2" t="s">
        <v>68</v>
      </c>
      <c r="C1003" s="4" t="str">
        <f aca="false">IFERROR(VLOOKUP($B1003,Ref_Continente!$A:$B,2,FALSE()),"Sin clasificar")</f>
        <v>Europe</v>
      </c>
      <c r="D1003" s="5" t="n">
        <v>9039</v>
      </c>
      <c r="E1003" s="6" t="n">
        <v>2762.8</v>
      </c>
      <c r="F1003" s="6" t="n">
        <v>10250</v>
      </c>
      <c r="G1003" s="5" t="n">
        <v>84869215513.36</v>
      </c>
      <c r="H1003" s="4" t="n">
        <f aca="false">IFERROR(IF(AND(VLOOKUP($B1003,Ref_Acuerdos!$A:$E,2,FALSE())="FTA",$A1003&gt;=VLOOKUP($B1003,Ref_Acuerdos!$A:$E,3,FALSE())),1,0),0)</f>
        <v>1</v>
      </c>
      <c r="I1003" s="4" t="n">
        <f aca="false">IFERROR(IF(AND(VLOOKUP($B1003,Ref_Acuerdos!$A:$E,2,FALSE())="PTA",$A1003&gt;=VLOOKUP($B1003,Ref_Acuerdos!$A:$E,3,FALSE())),1,0),0)</f>
        <v>0</v>
      </c>
      <c r="J1003" s="7" t="n">
        <f aca="false">IFERROR(IF($A1003&gt;=VLOOKUP($B1003,Ref_Acuerdos!$A:$E,3,FALSE()),VLOOKUP($B1003,Ref_Acuerdos!$A:$E,4,FALSE()),""),"")</f>
        <v>0</v>
      </c>
      <c r="K1003" s="4" t="str">
        <f aca="false">IFERROR(IF($A1003&gt;=VLOOKUP($B1003,Ref_Acuerdos!$A:$E,3,FALSE()),VLOOKUP($B1003,Ref_Acuerdos!$A:$E,5,FALSE()),"Sin FTA/PTA vigente ese año - arancel NMF"),"Sin FTA/PTA identificado - arancel NMF")</f>
        <v>UE-Ecuador Acuerdo Multipartes, vigente desde ene-2017</v>
      </c>
    </row>
    <row r="1004" customFormat="false" ht="15" hidden="false" customHeight="false" outlineLevel="0" collapsed="false">
      <c r="A1004" s="2" t="n">
        <v>2024</v>
      </c>
      <c r="B1004" s="2" t="s">
        <v>111</v>
      </c>
      <c r="C1004" s="4" t="str">
        <f aca="false">IFERROR(VLOOKUP($B1004,Ref_Continente!$A:$B,2,FALSE()),"Sin clasificar")</f>
        <v>North America</v>
      </c>
      <c r="D1004" s="5" t="n">
        <v>8374</v>
      </c>
      <c r="E1004" s="6" t="n">
        <v>2862.5</v>
      </c>
      <c r="F1004" s="6" t="n">
        <v>2530</v>
      </c>
      <c r="G1004" s="5" t="n">
        <v>25633544529.48</v>
      </c>
      <c r="H1004" s="4" t="n">
        <f aca="false">IFERROR(IF(AND(VLOOKUP($B1004,Ref_Acuerdos!$A:$E,2,FALSE())="FTA",$A1004&gt;=VLOOKUP($B1004,Ref_Acuerdos!$A:$E,3,FALSE())),1,0),0)</f>
        <v>0</v>
      </c>
      <c r="I1004" s="4" t="n">
        <f aca="false">IFERROR(IF(AND(VLOOKUP($B1004,Ref_Acuerdos!$A:$E,2,FALSE())="PTA",$A1004&gt;=VLOOKUP($B1004,Ref_Acuerdos!$A:$E,3,FALSE())),1,0),0)</f>
        <v>0</v>
      </c>
      <c r="J1004" s="7" t="str">
        <f aca="false">IFERROR(IF($A1004&gt;=VLOOKUP($B1004,Ref_Acuerdos!$A:$E,3,FALSE()),VLOOKUP($B1004,Ref_Acuerdos!$A:$E,4,FALSE()),""),"")</f>
        <v/>
      </c>
      <c r="K1004" s="4" t="str">
        <f aca="false">IFERROR(IF($A1004&gt;=VLOOKUP($B1004,Ref_Acuerdos!$A:$E,3,FALSE()),VLOOKUP($B1004,Ref_Acuerdos!$A:$E,5,FALSE()),"Sin FTA/PTA vigente ese año - arancel NMF"),"Sin FTA/PTA identificado - arancel NMF")</f>
        <v>Sin FTA/PTA identificado - arancel NMF</v>
      </c>
    </row>
    <row r="1005" customFormat="false" ht="15" hidden="false" customHeight="false" outlineLevel="0" collapsed="false">
      <c r="A1005" s="2" t="n">
        <v>2024</v>
      </c>
      <c r="B1005" s="2" t="s">
        <v>66</v>
      </c>
      <c r="C1005" s="4" t="str">
        <f aca="false">IFERROR(VLOOKUP($B1005,Ref_Continente!$A:$B,2,FALSE()),"Sin clasificar")</f>
        <v>Europe</v>
      </c>
      <c r="D1005" s="5" t="n">
        <v>6043</v>
      </c>
      <c r="E1005" s="6" t="n">
        <v>1421</v>
      </c>
      <c r="F1005" s="6" t="n">
        <v>10400</v>
      </c>
      <c r="G1005" s="5" t="n">
        <v>43684254432.36</v>
      </c>
      <c r="H1005" s="4" t="n">
        <f aca="false">IFERROR(IF(AND(VLOOKUP($B1005,Ref_Acuerdos!$A:$E,2,FALSE())="FTA",$A1005&gt;=VLOOKUP($B1005,Ref_Acuerdos!$A:$E,3,FALSE())),1,0),0)</f>
        <v>1</v>
      </c>
      <c r="I1005" s="4" t="n">
        <f aca="false">IFERROR(IF(AND(VLOOKUP($B1005,Ref_Acuerdos!$A:$E,2,FALSE())="PTA",$A1005&gt;=VLOOKUP($B1005,Ref_Acuerdos!$A:$E,3,FALSE())),1,0),0)</f>
        <v>0</v>
      </c>
      <c r="J1005" s="7" t="n">
        <f aca="false">IFERROR(IF($A1005&gt;=VLOOKUP($B1005,Ref_Acuerdos!$A:$E,3,FALSE()),VLOOKUP($B1005,Ref_Acuerdos!$A:$E,4,FALSE()),""),"")</f>
        <v>0</v>
      </c>
      <c r="K1005" s="4" t="str">
        <f aca="false">IFERROR(IF($A1005&gt;=VLOOKUP($B1005,Ref_Acuerdos!$A:$E,3,FALSE()),VLOOKUP($B1005,Ref_Acuerdos!$A:$E,5,FALSE()),"Sin FTA/PTA vigente ese año - arancel NMF"),"Sin FTA/PTA identificado - arancel NMF")</f>
        <v>UE-Ecuador Acuerdo Multipartes, vigente desde ene-2017</v>
      </c>
    </row>
    <row r="1006" customFormat="false" ht="15" hidden="false" customHeight="false" outlineLevel="0" collapsed="false">
      <c r="A1006" s="2" t="n">
        <v>2024</v>
      </c>
      <c r="B1006" s="2" t="s">
        <v>119</v>
      </c>
      <c r="C1006" s="4" t="str">
        <f aca="false">IFERROR(VLOOKUP($B1006,Ref_Continente!$A:$B,2,FALSE()),"Sin clasificar")</f>
        <v>Asia</v>
      </c>
      <c r="D1006" s="5" t="n">
        <v>5573</v>
      </c>
      <c r="E1006" s="6" t="n">
        <v>1156.5</v>
      </c>
      <c r="F1006" s="6" t="n">
        <v>14400</v>
      </c>
      <c r="G1006" s="5" t="n">
        <v>114965293466.61</v>
      </c>
      <c r="H1006" s="4" t="n">
        <f aca="false">IFERROR(IF(AND(VLOOKUP($B1006,Ref_Acuerdos!$A:$E,2,FALSE())="FTA",$A1006&gt;=VLOOKUP($B1006,Ref_Acuerdos!$A:$E,3,FALSE())),1,0),0)</f>
        <v>0</v>
      </c>
      <c r="I1006" s="4" t="n">
        <f aca="false">IFERROR(IF(AND(VLOOKUP($B1006,Ref_Acuerdos!$A:$E,2,FALSE())="PTA",$A1006&gt;=VLOOKUP($B1006,Ref_Acuerdos!$A:$E,3,FALSE())),1,0),0)</f>
        <v>0</v>
      </c>
      <c r="J1006" s="7" t="str">
        <f aca="false">IFERROR(IF($A1006&gt;=VLOOKUP($B1006,Ref_Acuerdos!$A:$E,3,FALSE()),VLOOKUP($B1006,Ref_Acuerdos!$A:$E,4,FALSE()),""),"")</f>
        <v/>
      </c>
      <c r="K1006" s="4" t="str">
        <f aca="false">IFERROR(IF($A1006&gt;=VLOOKUP($B1006,Ref_Acuerdos!$A:$E,3,FALSE()),VLOOKUP($B1006,Ref_Acuerdos!$A:$E,5,FALSE()),"Sin FTA/PTA vigente ese año - arancel NMF"),"Sin FTA/PTA identificado - arancel NMF")</f>
        <v>Sin FTA/PTA identificado - arancel NMF</v>
      </c>
    </row>
    <row r="1007" customFormat="false" ht="15" hidden="false" customHeight="false" outlineLevel="0" collapsed="false">
      <c r="A1007" s="2" t="n">
        <v>2024</v>
      </c>
      <c r="B1007" s="2" t="s">
        <v>8</v>
      </c>
      <c r="C1007" s="4" t="str">
        <f aca="false">IFERROR(VLOOKUP($B1007,Ref_Continente!$A:$B,2,FALSE()),"Sin clasificar")</f>
        <v>Asia</v>
      </c>
      <c r="D1007" s="5" t="n">
        <v>4927</v>
      </c>
      <c r="E1007" s="6" t="n">
        <v>1381.3</v>
      </c>
      <c r="F1007" s="6" t="n">
        <v>11600</v>
      </c>
      <c r="G1007" s="5" t="n">
        <v>25955275380.03</v>
      </c>
      <c r="H1007" s="4" t="n">
        <f aca="false">IFERROR(IF(AND(VLOOKUP($B1007,Ref_Acuerdos!$A:$E,2,FALSE())="FTA",$A1007&gt;=VLOOKUP($B1007,Ref_Acuerdos!$A:$E,3,FALSE())),1,0),0)</f>
        <v>0</v>
      </c>
      <c r="I1007" s="4" t="n">
        <f aca="false">IFERROR(IF(AND(VLOOKUP($B1007,Ref_Acuerdos!$A:$E,2,FALSE())="PTA",$A1007&gt;=VLOOKUP($B1007,Ref_Acuerdos!$A:$E,3,FALSE())),1,0),0)</f>
        <v>0</v>
      </c>
      <c r="J1007" s="7" t="str">
        <f aca="false">IFERROR(IF($A1007&gt;=VLOOKUP($B1007,Ref_Acuerdos!$A:$E,3,FALSE()),VLOOKUP($B1007,Ref_Acuerdos!$A:$E,4,FALSE()),""),"")</f>
        <v/>
      </c>
      <c r="K1007" s="4" t="str">
        <f aca="false">IFERROR(IF($A1007&gt;=VLOOKUP($B1007,Ref_Acuerdos!$A:$E,3,FALSE()),VLOOKUP($B1007,Ref_Acuerdos!$A:$E,5,FALSE()),"Sin FTA/PTA vigente ese año - arancel NMF"),"Sin FTA/PTA identificado - arancel NMF")</f>
        <v>Sin FTA/PTA identificado - arancel NMF</v>
      </c>
    </row>
    <row r="1008" customFormat="false" ht="15" hidden="false" customHeight="false" outlineLevel="0" collapsed="false">
      <c r="A1008" s="2" t="n">
        <v>2024</v>
      </c>
      <c r="B1008" s="2" t="s">
        <v>71</v>
      </c>
      <c r="C1008" s="4" t="str">
        <f aca="false">IFERROR(VLOOKUP($B1008,Ref_Continente!$A:$B,2,FALSE()),"Sin clasificar")</f>
        <v>Asia</v>
      </c>
      <c r="D1008" s="5" t="n">
        <v>3750</v>
      </c>
      <c r="E1008" s="6" t="n">
        <v>19</v>
      </c>
      <c r="F1008" s="6" t="n">
        <v>17100</v>
      </c>
      <c r="G1008" s="5" t="n">
        <v>7061608267.25</v>
      </c>
      <c r="H1008" s="4" t="n">
        <f aca="false">IFERROR(IF(AND(VLOOKUP($B1008,Ref_Acuerdos!$A:$E,2,FALSE())="FTA",$A1008&gt;=VLOOKUP($B1008,Ref_Acuerdos!$A:$E,3,FALSE())),1,0),0)</f>
        <v>0</v>
      </c>
      <c r="I1008" s="4" t="n">
        <f aca="false">IFERROR(IF(AND(VLOOKUP($B1008,Ref_Acuerdos!$A:$E,2,FALSE())="PTA",$A1008&gt;=VLOOKUP($B1008,Ref_Acuerdos!$A:$E,3,FALSE())),1,0),0)</f>
        <v>0</v>
      </c>
      <c r="J1008" s="7" t="str">
        <f aca="false">IFERROR(IF($A1008&gt;=VLOOKUP($B1008,Ref_Acuerdos!$A:$E,3,FALSE()),VLOOKUP($B1008,Ref_Acuerdos!$A:$E,4,FALSE()),""),"")</f>
        <v/>
      </c>
      <c r="K1008" s="4" t="str">
        <f aca="false">IFERROR(IF($A1008&gt;=VLOOKUP($B1008,Ref_Acuerdos!$A:$E,3,FALSE()),VLOOKUP($B1008,Ref_Acuerdos!$A:$E,5,FALSE()),"Sin FTA/PTA vigente ese año - arancel NMF"),"Sin FTA/PTA identificado - arancel NMF")</f>
        <v>Sin FTA/PTA identificado - arancel NMF</v>
      </c>
    </row>
    <row r="1009" customFormat="false" ht="15" hidden="false" customHeight="false" outlineLevel="0" collapsed="false">
      <c r="A1009" s="2" t="n">
        <v>2024</v>
      </c>
      <c r="B1009" s="2" t="s">
        <v>42</v>
      </c>
      <c r="C1009" s="4" t="str">
        <f aca="false">IFERROR(VLOOKUP($B1009,Ref_Continente!$A:$B,2,FALSE()),"Sin clasificar")</f>
        <v>Europe</v>
      </c>
      <c r="D1009" s="5" t="n">
        <v>3593</v>
      </c>
      <c r="E1009" s="6" t="n">
        <v>1508</v>
      </c>
      <c r="F1009" s="6" t="n">
        <v>9150</v>
      </c>
      <c r="G1009" s="5" t="n">
        <v>3160442622465.08</v>
      </c>
      <c r="H1009" s="4" t="n">
        <f aca="false">IFERROR(IF(AND(VLOOKUP($B1009,Ref_Acuerdos!$A:$E,2,FALSE())="FTA",$A1009&gt;=VLOOKUP($B1009,Ref_Acuerdos!$A:$E,3,FALSE())),1,0),0)</f>
        <v>1</v>
      </c>
      <c r="I1009" s="4" t="n">
        <f aca="false">IFERROR(IF(AND(VLOOKUP($B1009,Ref_Acuerdos!$A:$E,2,FALSE())="PTA",$A1009&gt;=VLOOKUP($B1009,Ref_Acuerdos!$A:$E,3,FALSE())),1,0),0)</f>
        <v>0</v>
      </c>
      <c r="J1009" s="7" t="n">
        <f aca="false">IFERROR(IF($A1009&gt;=VLOOKUP($B1009,Ref_Acuerdos!$A:$E,3,FALSE()),VLOOKUP($B1009,Ref_Acuerdos!$A:$E,4,FALSE()),""),"")</f>
        <v>0</v>
      </c>
      <c r="K1009" s="4" t="str">
        <f aca="false">IFERROR(IF($A1009&gt;=VLOOKUP($B1009,Ref_Acuerdos!$A:$E,3,FALSE()),VLOOKUP($B1009,Ref_Acuerdos!$A:$E,5,FALSE()),"Sin FTA/PTA vigente ese año - arancel NMF"),"Sin FTA/PTA identificado - arancel NMF")</f>
        <v>UE-Ecuador Acuerdo Multipartes, vigente desde ene-2017</v>
      </c>
    </row>
    <row r="1010" customFormat="false" ht="15" hidden="false" customHeight="false" outlineLevel="0" collapsed="false">
      <c r="A1010" s="2" t="n">
        <v>2024</v>
      </c>
      <c r="B1010" s="2" t="s">
        <v>97</v>
      </c>
      <c r="C1010" s="4" t="str">
        <f aca="false">IFERROR(VLOOKUP($B1010,Ref_Continente!$A:$B,2,FALSE()),"Sin clasificar")</f>
        <v>North America</v>
      </c>
      <c r="D1010" s="5" t="n">
        <v>2851</v>
      </c>
      <c r="E1010" s="6" t="n">
        <v>156</v>
      </c>
      <c r="F1010" s="6" t="n">
        <v>2900</v>
      </c>
      <c r="G1010" s="5"/>
      <c r="H1010" s="4" t="n">
        <f aca="false">IFERROR(IF(AND(VLOOKUP($B1010,Ref_Acuerdos!$A:$E,2,FALSE())="FTA",$A1010&gt;=VLOOKUP($B1010,Ref_Acuerdos!$A:$E,3,FALSE())),1,0),0)</f>
        <v>0</v>
      </c>
      <c r="I1010" s="4" t="n">
        <f aca="false">IFERROR(IF(AND(VLOOKUP($B1010,Ref_Acuerdos!$A:$E,2,FALSE())="PTA",$A1010&gt;=VLOOKUP($B1010,Ref_Acuerdos!$A:$E,3,FALSE())),1,0),0)</f>
        <v>0</v>
      </c>
      <c r="J1010" s="7" t="str">
        <f aca="false">IFERROR(IF($A1010&gt;=VLOOKUP($B1010,Ref_Acuerdos!$A:$E,3,FALSE()),VLOOKUP($B1010,Ref_Acuerdos!$A:$E,4,FALSE()),""),"")</f>
        <v/>
      </c>
      <c r="K1010" s="4" t="str">
        <f aca="false">IFERROR(IF($A1010&gt;=VLOOKUP($B1010,Ref_Acuerdos!$A:$E,3,FALSE()),VLOOKUP($B1010,Ref_Acuerdos!$A:$E,5,FALSE()),"Sin FTA/PTA vigente ese año - arancel NMF"),"Sin FTA/PTA identificado - arancel NMF")</f>
        <v>Sin FTA/PTA identificado - arancel NMF</v>
      </c>
    </row>
    <row r="1011" customFormat="false" ht="15" hidden="false" customHeight="false" outlineLevel="0" collapsed="false">
      <c r="A1011" s="2" t="n">
        <v>2024</v>
      </c>
      <c r="B1011" s="2" t="s">
        <v>32</v>
      </c>
      <c r="C1011" s="4" t="str">
        <f aca="false">IFERROR(VLOOKUP($B1011,Ref_Continente!$A:$B,2,FALSE()),"Sin clasificar")</f>
        <v>North America</v>
      </c>
      <c r="D1011" s="5" t="n">
        <v>2828</v>
      </c>
      <c r="E1011" s="6" t="n">
        <v>1667.9</v>
      </c>
      <c r="F1011" s="6" t="n">
        <v>2450</v>
      </c>
      <c r="G1011" s="5"/>
      <c r="H1011" s="4" t="n">
        <f aca="false">IFERROR(IF(AND(VLOOKUP($B1011,Ref_Acuerdos!$A:$E,2,FALSE())="FTA",$A1011&gt;=VLOOKUP($B1011,Ref_Acuerdos!$A:$E,3,FALSE())),1,0),0)</f>
        <v>0</v>
      </c>
      <c r="I1011" s="4" t="n">
        <f aca="false">IFERROR(IF(AND(VLOOKUP($B1011,Ref_Acuerdos!$A:$E,2,FALSE())="PTA",$A1011&gt;=VLOOKUP($B1011,Ref_Acuerdos!$A:$E,3,FALSE())),1,0),0)</f>
        <v>1</v>
      </c>
      <c r="J1011" s="7" t="n">
        <f aca="false">IFERROR(IF($A1011&gt;=VLOOKUP($B1011,Ref_Acuerdos!$A:$E,3,FALSE()),VLOOKUP($B1011,Ref_Acuerdos!$A:$E,4,FALSE()),""),"")</f>
        <v>10</v>
      </c>
      <c r="K1011" s="4" t="str">
        <f aca="false">IFERROR(IF($A1011&gt;=VLOOKUP($B1011,Ref_Acuerdos!$A:$E,3,FALSE()),VLOOKUP($B1011,Ref_Acuerdos!$A:$E,5,FALSE()),"Sin FTA/PTA vigente ese año - arancel NMF"),"Sin FTA/PTA identificado - arancel NMF")</f>
        <v>ALADI - Acuerdo de Alcance Parcial (preferencia limitada, tarifa referencial)</v>
      </c>
    </row>
    <row r="1012" customFormat="false" ht="15" hidden="false" customHeight="false" outlineLevel="0" collapsed="false">
      <c r="A1012" s="2" t="n">
        <v>2024</v>
      </c>
      <c r="B1012" s="2" t="s">
        <v>98</v>
      </c>
      <c r="C1012" s="4" t="str">
        <f aca="false">IFERROR(VLOOKUP($B1012,Ref_Continente!$A:$B,2,FALSE()),"Sin clasificar")</f>
        <v>North America</v>
      </c>
      <c r="D1012" s="5" t="n">
        <v>2750</v>
      </c>
      <c r="E1012" s="6" t="n">
        <v>165</v>
      </c>
      <c r="F1012" s="6" t="n">
        <v>2750</v>
      </c>
      <c r="G1012" s="5"/>
      <c r="H1012" s="4" t="n">
        <f aca="false">IFERROR(IF(AND(VLOOKUP($B1012,Ref_Acuerdos!$A:$E,2,FALSE())="FTA",$A1012&gt;=VLOOKUP($B1012,Ref_Acuerdos!$A:$E,3,FALSE())),1,0),0)</f>
        <v>0</v>
      </c>
      <c r="I1012" s="4" t="n">
        <f aca="false">IFERROR(IF(AND(VLOOKUP($B1012,Ref_Acuerdos!$A:$E,2,FALSE())="PTA",$A1012&gt;=VLOOKUP($B1012,Ref_Acuerdos!$A:$E,3,FALSE())),1,0),0)</f>
        <v>0</v>
      </c>
      <c r="J1012" s="7" t="str">
        <f aca="false">IFERROR(IF($A1012&gt;=VLOOKUP($B1012,Ref_Acuerdos!$A:$E,3,FALSE()),VLOOKUP($B1012,Ref_Acuerdos!$A:$E,4,FALSE()),""),"")</f>
        <v/>
      </c>
      <c r="K1012" s="4" t="str">
        <f aca="false">IFERROR(IF($A1012&gt;=VLOOKUP($B1012,Ref_Acuerdos!$A:$E,3,FALSE()),VLOOKUP($B1012,Ref_Acuerdos!$A:$E,5,FALSE()),"Sin FTA/PTA vigente ese año - arancel NMF"),"Sin FTA/PTA identificado - arancel NMF")</f>
        <v>Sin FTA/PTA identificado - arancel NMF</v>
      </c>
    </row>
    <row r="1013" customFormat="false" ht="15" hidden="false" customHeight="false" outlineLevel="0" collapsed="false">
      <c r="A1013" s="2" t="n">
        <v>2024</v>
      </c>
      <c r="B1013" s="2" t="s">
        <v>40</v>
      </c>
      <c r="C1013" s="4" t="str">
        <f aca="false">IFERROR(VLOOKUP($B1013,Ref_Continente!$A:$B,2,FALSE()),"Sin clasificar")</f>
        <v>Europe</v>
      </c>
      <c r="D1013" s="5" t="n">
        <v>2550</v>
      </c>
      <c r="E1013" s="6" t="n">
        <v>1384.5</v>
      </c>
      <c r="F1013" s="6" t="n">
        <v>10400</v>
      </c>
      <c r="G1013" s="5" t="n">
        <v>43130419829.35</v>
      </c>
      <c r="H1013" s="4" t="n">
        <f aca="false">IFERROR(IF(AND(VLOOKUP($B1013,Ref_Acuerdos!$A:$E,2,FALSE())="FTA",$A1013&gt;=VLOOKUP($B1013,Ref_Acuerdos!$A:$E,3,FALSE())),1,0),0)</f>
        <v>1</v>
      </c>
      <c r="I1013" s="4" t="n">
        <f aca="false">IFERROR(IF(AND(VLOOKUP($B1013,Ref_Acuerdos!$A:$E,2,FALSE())="PTA",$A1013&gt;=VLOOKUP($B1013,Ref_Acuerdos!$A:$E,3,FALSE())),1,0),0)</f>
        <v>0</v>
      </c>
      <c r="J1013" s="7" t="n">
        <f aca="false">IFERROR(IF($A1013&gt;=VLOOKUP($B1013,Ref_Acuerdos!$A:$E,3,FALSE()),VLOOKUP($B1013,Ref_Acuerdos!$A:$E,4,FALSE()),""),"")</f>
        <v>0</v>
      </c>
      <c r="K1013" s="4" t="str">
        <f aca="false">IFERROR(IF($A1013&gt;=VLOOKUP($B1013,Ref_Acuerdos!$A:$E,3,FALSE()),VLOOKUP($B1013,Ref_Acuerdos!$A:$E,5,FALSE()),"Sin FTA/PTA vigente ese año - arancel NMF"),"Sin FTA/PTA identificado - arancel NMF")</f>
        <v>UE-Ecuador Acuerdo Multipartes, vigente desde ene-2017</v>
      </c>
    </row>
    <row r="1014" customFormat="false" ht="15" hidden="false" customHeight="false" outlineLevel="0" collapsed="false">
      <c r="A1014" s="2" t="n">
        <v>2024</v>
      </c>
      <c r="B1014" s="2" t="s">
        <v>102</v>
      </c>
      <c r="C1014" s="4" t="str">
        <f aca="false">IFERROR(VLOOKUP($B1014,Ref_Continente!$A:$B,2,FALSE()),"Sin clasificar")</f>
        <v>Asia</v>
      </c>
      <c r="D1014" s="5" t="n">
        <v>2296</v>
      </c>
      <c r="E1014" s="6" t="n">
        <v>1294</v>
      </c>
      <c r="F1014" s="6" t="n">
        <v>18800</v>
      </c>
      <c r="G1014" s="5" t="n">
        <v>547386645891.85</v>
      </c>
      <c r="H1014" s="4" t="n">
        <f aca="false">IFERROR(IF(AND(VLOOKUP($B1014,Ref_Acuerdos!$A:$E,2,FALSE())="FTA",$A1014&gt;=VLOOKUP($B1014,Ref_Acuerdos!$A:$E,3,FALSE())),1,0),0)</f>
        <v>0</v>
      </c>
      <c r="I1014" s="4" t="n">
        <f aca="false">IFERROR(IF(AND(VLOOKUP($B1014,Ref_Acuerdos!$A:$E,2,FALSE())="PTA",$A1014&gt;=VLOOKUP($B1014,Ref_Acuerdos!$A:$E,3,FALSE())),1,0),0)</f>
        <v>0</v>
      </c>
      <c r="J1014" s="7" t="str">
        <f aca="false">IFERROR(IF($A1014&gt;=VLOOKUP($B1014,Ref_Acuerdos!$A:$E,3,FALSE()),VLOOKUP($B1014,Ref_Acuerdos!$A:$E,4,FALSE()),""),"")</f>
        <v/>
      </c>
      <c r="K1014" s="4" t="str">
        <f aca="false">IFERROR(IF($A1014&gt;=VLOOKUP($B1014,Ref_Acuerdos!$A:$E,3,FALSE()),VLOOKUP($B1014,Ref_Acuerdos!$A:$E,5,FALSE()),"Sin FTA/PTA vigente ese año - arancel NMF"),"Sin FTA/PTA identificado - arancel NMF")</f>
        <v>Sin FTA/PTA identificado - arancel NMF</v>
      </c>
    </row>
    <row r="1015" customFormat="false" ht="15" hidden="false" customHeight="false" outlineLevel="0" collapsed="false">
      <c r="A1015" s="2" t="n">
        <v>2024</v>
      </c>
      <c r="B1015" s="2" t="s">
        <v>86</v>
      </c>
      <c r="C1015" s="4" t="str">
        <f aca="false">IFERROR(VLOOKUP($B1015,Ref_Continente!$A:$B,2,FALSE()),"Sin clasificar")</f>
        <v>North America</v>
      </c>
      <c r="D1015" s="5" t="n">
        <v>2118</v>
      </c>
      <c r="E1015" s="6" t="n">
        <v>1076.4</v>
      </c>
      <c r="F1015" s="6" t="n">
        <v>1020</v>
      </c>
      <c r="G1015" s="5" t="n">
        <v>86523959131.75</v>
      </c>
      <c r="H1015" s="4" t="n">
        <f aca="false">IFERROR(IF(AND(VLOOKUP($B1015,Ref_Acuerdos!$A:$E,2,FALSE())="FTA",$A1015&gt;=VLOOKUP($B1015,Ref_Acuerdos!$A:$E,3,FALSE())),1,0),0)</f>
        <v>0</v>
      </c>
      <c r="I1015" s="4" t="n">
        <f aca="false">IFERROR(IF(AND(VLOOKUP($B1015,Ref_Acuerdos!$A:$E,2,FALSE())="PTA",$A1015&gt;=VLOOKUP($B1015,Ref_Acuerdos!$A:$E,3,FALSE())),1,0),0)</f>
        <v>1</v>
      </c>
      <c r="J1015" s="7" t="n">
        <f aca="false">IFERROR(IF($A1015&gt;=VLOOKUP($B1015,Ref_Acuerdos!$A:$E,3,FALSE()),VLOOKUP($B1015,Ref_Acuerdos!$A:$E,4,FALSE()),""),"")</f>
        <v>10</v>
      </c>
      <c r="K1015" s="4" t="str">
        <f aca="false">IFERROR(IF($A1015&gt;=VLOOKUP($B1015,Ref_Acuerdos!$A:$E,3,FALSE()),VLOOKUP($B1015,Ref_Acuerdos!$A:$E,5,FALSE()),"Sin FTA/PTA vigente ese año - arancel NMF"),"Sin FTA/PTA identificado - arancel NMF")</f>
        <v>ALADI - Acuerdo de Alcance Parcial (preferencia limitada, tarifa referencial)</v>
      </c>
    </row>
    <row r="1016" customFormat="false" ht="15" hidden="false" customHeight="false" outlineLevel="0" collapsed="false">
      <c r="A1016" s="2" t="n">
        <v>2024</v>
      </c>
      <c r="B1016" s="2" t="s">
        <v>70</v>
      </c>
      <c r="C1016" s="4" t="str">
        <f aca="false">IFERROR(VLOOKUP($B1016,Ref_Continente!$A:$B,2,FALSE()),"Sin clasificar")</f>
        <v>Asia</v>
      </c>
      <c r="D1016" s="5" t="n">
        <v>1900</v>
      </c>
      <c r="E1016" s="6" t="n">
        <v>725</v>
      </c>
      <c r="F1016" s="6" t="n">
        <v>19950</v>
      </c>
      <c r="G1016" s="5" t="n">
        <v>422227005428.69</v>
      </c>
      <c r="H1016" s="4" t="n">
        <f aca="false">IFERROR(IF(AND(VLOOKUP($B1016,Ref_Acuerdos!$A:$E,2,FALSE())="FTA",$A1016&gt;=VLOOKUP($B1016,Ref_Acuerdos!$A:$E,3,FALSE())),1,0),0)</f>
        <v>0</v>
      </c>
      <c r="I1016" s="4" t="n">
        <f aca="false">IFERROR(IF(AND(VLOOKUP($B1016,Ref_Acuerdos!$A:$E,2,FALSE())="PTA",$A1016&gt;=VLOOKUP($B1016,Ref_Acuerdos!$A:$E,3,FALSE())),1,0),0)</f>
        <v>0</v>
      </c>
      <c r="J1016" s="7" t="str">
        <f aca="false">IFERROR(IF($A1016&gt;=VLOOKUP($B1016,Ref_Acuerdos!$A:$E,3,FALSE()),VLOOKUP($B1016,Ref_Acuerdos!$A:$E,4,FALSE()),""),"")</f>
        <v/>
      </c>
      <c r="K1016" s="4" t="str">
        <f aca="false">IFERROR(IF($A1016&gt;=VLOOKUP($B1016,Ref_Acuerdos!$A:$E,3,FALSE()),VLOOKUP($B1016,Ref_Acuerdos!$A:$E,5,FALSE()),"Sin FTA/PTA vigente ese año - arancel NMF"),"Sin FTA/PTA identificado - arancel NMF")</f>
        <v>Sin FTA/PTA identificado - arancel NMF</v>
      </c>
    </row>
    <row r="1017" customFormat="false" ht="15" hidden="false" customHeight="false" outlineLevel="0" collapsed="false">
      <c r="A1017" s="2" t="n">
        <v>2024</v>
      </c>
      <c r="B1017" s="2" t="s">
        <v>19</v>
      </c>
      <c r="C1017" s="4" t="str">
        <f aca="false">IFERROR(VLOOKUP($B1017,Ref_Continente!$A:$B,2,FALSE()),"Sin clasificar")</f>
        <v>Europe</v>
      </c>
      <c r="D1017" s="5" t="n">
        <v>1593</v>
      </c>
      <c r="E1017" s="6" t="n">
        <v>381.1</v>
      </c>
      <c r="F1017" s="6" t="n">
        <v>10600</v>
      </c>
      <c r="G1017" s="5" t="n">
        <v>75961865471.91</v>
      </c>
      <c r="H1017" s="4" t="n">
        <f aca="false">IFERROR(IF(AND(VLOOKUP($B1017,Ref_Acuerdos!$A:$E,2,FALSE())="FTA",$A1017&gt;=VLOOKUP($B1017,Ref_Acuerdos!$A:$E,3,FALSE())),1,0),0)</f>
        <v>0</v>
      </c>
      <c r="I1017" s="4" t="n">
        <f aca="false">IFERROR(IF(AND(VLOOKUP($B1017,Ref_Acuerdos!$A:$E,2,FALSE())="PTA",$A1017&gt;=VLOOKUP($B1017,Ref_Acuerdos!$A:$E,3,FALSE())),1,0),0)</f>
        <v>0</v>
      </c>
      <c r="J1017" s="7" t="str">
        <f aca="false">IFERROR(IF($A1017&gt;=VLOOKUP($B1017,Ref_Acuerdos!$A:$E,3,FALSE()),VLOOKUP($B1017,Ref_Acuerdos!$A:$E,4,FALSE()),""),"")</f>
        <v/>
      </c>
      <c r="K1017" s="4" t="str">
        <f aca="false">IFERROR(IF($A1017&gt;=VLOOKUP($B1017,Ref_Acuerdos!$A:$E,3,FALSE()),VLOOKUP($B1017,Ref_Acuerdos!$A:$E,5,FALSE()),"Sin FTA/PTA vigente ese año - arancel NMF"),"Sin FTA/PTA identificado - arancel NMF")</f>
        <v>Sin FTA/PTA identificado - arancel NMF</v>
      </c>
    </row>
    <row r="1018" customFormat="false" ht="15" hidden="false" customHeight="false" outlineLevel="0" collapsed="false">
      <c r="A1018" s="2" t="n">
        <v>2024</v>
      </c>
      <c r="B1018" s="2" t="s">
        <v>89</v>
      </c>
      <c r="C1018" s="4" t="str">
        <f aca="false">IFERROR(VLOOKUP($B1018,Ref_Continente!$A:$B,2,FALSE()),"Sin clasificar")</f>
        <v>Asia</v>
      </c>
      <c r="D1018" s="5" t="n">
        <v>1511</v>
      </c>
      <c r="E1018" s="6" t="n">
        <v>388</v>
      </c>
      <c r="F1018" s="6" t="n">
        <v>17800</v>
      </c>
      <c r="G1018" s="5" t="n">
        <v>461617509782.36</v>
      </c>
      <c r="H1018" s="4" t="n">
        <f aca="false">IFERROR(IF(AND(VLOOKUP($B1018,Ref_Acuerdos!$A:$E,2,FALSE())="FTA",$A1018&gt;=VLOOKUP($B1018,Ref_Acuerdos!$A:$E,3,FALSE())),1,0),0)</f>
        <v>0</v>
      </c>
      <c r="I1018" s="4" t="n">
        <f aca="false">IFERROR(IF(AND(VLOOKUP($B1018,Ref_Acuerdos!$A:$E,2,FALSE())="PTA",$A1018&gt;=VLOOKUP($B1018,Ref_Acuerdos!$A:$E,3,FALSE())),1,0),0)</f>
        <v>0</v>
      </c>
      <c r="J1018" s="7" t="str">
        <f aca="false">IFERROR(IF($A1018&gt;=VLOOKUP($B1018,Ref_Acuerdos!$A:$E,3,FALSE()),VLOOKUP($B1018,Ref_Acuerdos!$A:$E,4,FALSE()),""),"")</f>
        <v/>
      </c>
      <c r="K1018" s="4" t="str">
        <f aca="false">IFERROR(IF($A1018&gt;=VLOOKUP($B1018,Ref_Acuerdos!$A:$E,3,FALSE()),VLOOKUP($B1018,Ref_Acuerdos!$A:$E,5,FALSE()),"Sin FTA/PTA vigente ese año - arancel NMF"),"Sin FTA/PTA identificado - arancel NMF")</f>
        <v>Sin FTA/PTA identificado - arancel NMF</v>
      </c>
    </row>
    <row r="1019" customFormat="false" ht="15" hidden="false" customHeight="false" outlineLevel="0" collapsed="false">
      <c r="A1019" s="2" t="n">
        <v>2024</v>
      </c>
      <c r="B1019" s="2" t="s">
        <v>16</v>
      </c>
      <c r="C1019" s="4" t="str">
        <f aca="false">IFERROR(VLOOKUP($B1019,Ref_Continente!$A:$B,2,FALSE()),"Sin clasificar")</f>
        <v>Asia</v>
      </c>
      <c r="D1019" s="5" t="n">
        <v>1500</v>
      </c>
      <c r="E1019" s="6" t="n">
        <v>900</v>
      </c>
      <c r="F1019" s="6" t="n">
        <v>13100</v>
      </c>
      <c r="G1019" s="5" t="n">
        <v>74315882352.94</v>
      </c>
      <c r="H1019" s="4" t="n">
        <f aca="false">IFERROR(IF(AND(VLOOKUP($B1019,Ref_Acuerdos!$A:$E,2,FALSE())="FTA",$A1019&gt;=VLOOKUP($B1019,Ref_Acuerdos!$A:$E,3,FALSE())),1,0),0)</f>
        <v>0</v>
      </c>
      <c r="I1019" s="4" t="n">
        <f aca="false">IFERROR(IF(AND(VLOOKUP($B1019,Ref_Acuerdos!$A:$E,2,FALSE())="PTA",$A1019&gt;=VLOOKUP($B1019,Ref_Acuerdos!$A:$E,3,FALSE())),1,0),0)</f>
        <v>0</v>
      </c>
      <c r="J1019" s="7" t="str">
        <f aca="false">IFERROR(IF($A1019&gt;=VLOOKUP($B1019,Ref_Acuerdos!$A:$E,3,FALSE()),VLOOKUP($B1019,Ref_Acuerdos!$A:$E,4,FALSE()),""),"")</f>
        <v/>
      </c>
      <c r="K1019" s="4" t="str">
        <f aca="false">IFERROR(IF($A1019&gt;=VLOOKUP($B1019,Ref_Acuerdos!$A:$E,3,FALSE()),VLOOKUP($B1019,Ref_Acuerdos!$A:$E,5,FALSE()),"Sin FTA/PTA vigente ese año - arancel NMF"),"Sin FTA/PTA identificado - arancel NMF")</f>
        <v>Sin FTA/PTA identificado - arancel NMF</v>
      </c>
    </row>
    <row r="1020" customFormat="false" ht="15" hidden="false" customHeight="false" outlineLevel="0" collapsed="false">
      <c r="A1020" s="2" t="n">
        <v>2024</v>
      </c>
      <c r="B1020" s="2" t="s">
        <v>28</v>
      </c>
      <c r="C1020" s="4" t="str">
        <f aca="false">IFERROR(VLOOKUP($B1020,Ref_Continente!$A:$B,2,FALSE()),"Sin clasificar")</f>
        <v>Asia</v>
      </c>
      <c r="D1020" s="5" t="n">
        <v>919</v>
      </c>
      <c r="E1020" s="6" t="n">
        <v>477.6</v>
      </c>
      <c r="F1020" s="6" t="n">
        <v>17700</v>
      </c>
      <c r="G1020" s="5" t="n">
        <v>406863396487.34</v>
      </c>
      <c r="H1020" s="4" t="n">
        <f aca="false">IFERROR(IF(AND(VLOOKUP($B1020,Ref_Acuerdos!$A:$E,2,FALSE())="FTA",$A1020&gt;=VLOOKUP($B1020,Ref_Acuerdos!$A:$E,3,FALSE())),1,0),0)</f>
        <v>0</v>
      </c>
      <c r="I1020" s="4" t="n">
        <f aca="false">IFERROR(IF(AND(VLOOKUP($B1020,Ref_Acuerdos!$A:$E,2,FALSE())="PTA",$A1020&gt;=VLOOKUP($B1020,Ref_Acuerdos!$A:$E,3,FALSE())),1,0),0)</f>
        <v>0</v>
      </c>
      <c r="J1020" s="7" t="str">
        <f aca="false">IFERROR(IF($A1020&gt;=VLOOKUP($B1020,Ref_Acuerdos!$A:$E,3,FALSE()),VLOOKUP($B1020,Ref_Acuerdos!$A:$E,4,FALSE()),""),"")</f>
        <v/>
      </c>
      <c r="K1020" s="4" t="str">
        <f aca="false">IFERROR(IF($A1020&gt;=VLOOKUP($B1020,Ref_Acuerdos!$A:$E,3,FALSE()),VLOOKUP($B1020,Ref_Acuerdos!$A:$E,5,FALSE()),"Sin FTA/PTA vigente ese año - arancel NMF"),"Sin FTA/PTA identificado - arancel NMF")</f>
        <v>Sin FTA/PTA identificado - arancel NMF</v>
      </c>
    </row>
    <row r="1021" customFormat="false" ht="15" hidden="false" customHeight="false" outlineLevel="0" collapsed="false">
      <c r="A1021" s="2" t="n">
        <v>2024</v>
      </c>
      <c r="B1021" s="2" t="s">
        <v>2</v>
      </c>
      <c r="C1021" s="4" t="str">
        <f aca="false">IFERROR(VLOOKUP($B1021,Ref_Continente!$A:$B,2,FALSE()),"Sin clasificar")</f>
        <v>Africa</v>
      </c>
      <c r="D1021" s="5" t="n">
        <v>755</v>
      </c>
      <c r="E1021" s="6" t="n">
        <v>354</v>
      </c>
      <c r="F1021" s="6" t="n">
        <v>9140</v>
      </c>
      <c r="G1021" s="5" t="n">
        <v>269322281664.77</v>
      </c>
      <c r="H1021" s="4" t="n">
        <f aca="false">IFERROR(IF(AND(VLOOKUP($B1021,Ref_Acuerdos!$A:$E,2,FALSE())="FTA",$A1021&gt;=VLOOKUP($B1021,Ref_Acuerdos!$A:$E,3,FALSE())),1,0),0)</f>
        <v>0</v>
      </c>
      <c r="I1021" s="4" t="n">
        <f aca="false">IFERROR(IF(AND(VLOOKUP($B1021,Ref_Acuerdos!$A:$E,2,FALSE())="PTA",$A1021&gt;=VLOOKUP($B1021,Ref_Acuerdos!$A:$E,3,FALSE())),1,0),0)</f>
        <v>0</v>
      </c>
      <c r="J1021" s="7" t="str">
        <f aca="false">IFERROR(IF($A1021&gt;=VLOOKUP($B1021,Ref_Acuerdos!$A:$E,3,FALSE()),VLOOKUP($B1021,Ref_Acuerdos!$A:$E,4,FALSE()),""),"")</f>
        <v/>
      </c>
      <c r="K1021" s="4" t="str">
        <f aca="false">IFERROR(IF($A1021&gt;=VLOOKUP($B1021,Ref_Acuerdos!$A:$E,3,FALSE()),VLOOKUP($B1021,Ref_Acuerdos!$A:$E,5,FALSE()),"Sin FTA/PTA vigente ese año - arancel NMF"),"Sin FTA/PTA identificado - arancel NMF")</f>
        <v>Sin FTA/PTA identificado - arancel NMF</v>
      </c>
    </row>
    <row r="1022" customFormat="false" ht="15" hidden="false" customHeight="false" outlineLevel="0" collapsed="false">
      <c r="A1022" s="2" t="n">
        <v>2024</v>
      </c>
      <c r="B1022" s="2" t="s">
        <v>120</v>
      </c>
      <c r="C1022" s="4" t="str">
        <f aca="false">IFERROR(VLOOKUP($B1022,Ref_Continente!$A:$B,2,FALSE()),"Sin clasificar")</f>
        <v>Asia</v>
      </c>
      <c r="D1022" s="5" t="n">
        <v>744</v>
      </c>
      <c r="E1022" s="6" t="n">
        <v>333</v>
      </c>
      <c r="F1022" s="6" t="n">
        <v>17600</v>
      </c>
      <c r="G1022" s="5" t="n">
        <v>476388230307.18</v>
      </c>
      <c r="H1022" s="4" t="n">
        <f aca="false">IFERROR(IF(AND(VLOOKUP($B1022,Ref_Acuerdos!$A:$E,2,FALSE())="FTA",$A1022&gt;=VLOOKUP($B1022,Ref_Acuerdos!$A:$E,3,FALSE())),1,0),0)</f>
        <v>0</v>
      </c>
      <c r="I1022" s="4" t="n">
        <f aca="false">IFERROR(IF(AND(VLOOKUP($B1022,Ref_Acuerdos!$A:$E,2,FALSE())="PTA",$A1022&gt;=VLOOKUP($B1022,Ref_Acuerdos!$A:$E,3,FALSE())),1,0),0)</f>
        <v>0</v>
      </c>
      <c r="J1022" s="7" t="str">
        <f aca="false">IFERROR(IF($A1022&gt;=VLOOKUP($B1022,Ref_Acuerdos!$A:$E,3,FALSE()),VLOOKUP($B1022,Ref_Acuerdos!$A:$E,4,FALSE()),""),"")</f>
        <v/>
      </c>
      <c r="K1022" s="4" t="str">
        <f aca="false">IFERROR(IF($A1022&gt;=VLOOKUP($B1022,Ref_Acuerdos!$A:$E,3,FALSE()),VLOOKUP($B1022,Ref_Acuerdos!$A:$E,5,FALSE()),"Sin FTA/PTA vigente ese año - arancel NMF"),"Sin FTA/PTA identificado - arancel NMF")</f>
        <v>Sin FTA/PTA identificado - arancel NMF</v>
      </c>
    </row>
    <row r="1023" customFormat="false" ht="15" hidden="false" customHeight="false" outlineLevel="0" collapsed="false">
      <c r="A1023" s="2" t="n">
        <v>2024</v>
      </c>
      <c r="B1023" s="2" t="s">
        <v>57</v>
      </c>
      <c r="C1023" s="4" t="str">
        <f aca="false">IFERROR(VLOOKUP($B1023,Ref_Continente!$A:$B,2,FALSE()),"Sin clasificar")</f>
        <v>Europe</v>
      </c>
      <c r="D1023" s="5" t="n">
        <v>736</v>
      </c>
      <c r="E1023" s="6" t="n">
        <v>231</v>
      </c>
      <c r="F1023" s="6" t="n">
        <v>9100</v>
      </c>
      <c r="G1023" s="5" t="n">
        <v>609157459747.21</v>
      </c>
      <c r="H1023" s="4" t="n">
        <f aca="false">IFERROR(IF(AND(VLOOKUP($B1023,Ref_Acuerdos!$A:$E,2,FALSE())="FTA",$A1023&gt;=VLOOKUP($B1023,Ref_Acuerdos!$A:$E,3,FALSE())),1,0),0)</f>
        <v>1</v>
      </c>
      <c r="I1023" s="4" t="n">
        <f aca="false">IFERROR(IF(AND(VLOOKUP($B1023,Ref_Acuerdos!$A:$E,2,FALSE())="PTA",$A1023&gt;=VLOOKUP($B1023,Ref_Acuerdos!$A:$E,3,FALSE())),1,0),0)</f>
        <v>0</v>
      </c>
      <c r="J1023" s="7" t="n">
        <f aca="false">IFERROR(IF($A1023&gt;=VLOOKUP($B1023,Ref_Acuerdos!$A:$E,3,FALSE()),VLOOKUP($B1023,Ref_Acuerdos!$A:$E,4,FALSE()),""),"")</f>
        <v>0</v>
      </c>
      <c r="K1023" s="4" t="str">
        <f aca="false">IFERROR(IF($A1023&gt;=VLOOKUP($B1023,Ref_Acuerdos!$A:$E,3,FALSE()),VLOOKUP($B1023,Ref_Acuerdos!$A:$E,5,FALSE()),"Sin FTA/PTA vigente ese año - arancel NMF"),"Sin FTA/PTA identificado - arancel NMF")</f>
        <v>UE-Ecuador Acuerdo Multipartes, vigente desde ene-2017</v>
      </c>
    </row>
    <row r="1024" customFormat="false" ht="15" hidden="false" customHeight="false" outlineLevel="0" collapsed="false">
      <c r="A1024" s="2" t="n">
        <v>2024</v>
      </c>
      <c r="B1024" s="2" t="s">
        <v>85</v>
      </c>
      <c r="C1024" s="4" t="str">
        <f aca="false">IFERROR(VLOOKUP($B1024,Ref_Continente!$A:$B,2,FALSE()),"Sin clasificar")</f>
        <v>Asia</v>
      </c>
      <c r="D1024" s="5" t="n">
        <v>650</v>
      </c>
      <c r="E1024" s="6" t="n">
        <v>325</v>
      </c>
      <c r="F1024" s="6" t="n">
        <v>0</v>
      </c>
      <c r="G1024" s="5"/>
      <c r="H1024" s="4" t="n">
        <f aca="false">IFERROR(IF(AND(VLOOKUP($B1024,Ref_Acuerdos!$A:$E,2,FALSE())="FTA",$A1024&gt;=VLOOKUP($B1024,Ref_Acuerdos!$A:$E,3,FALSE())),1,0),0)</f>
        <v>0</v>
      </c>
      <c r="I1024" s="4" t="n">
        <f aca="false">IFERROR(IF(AND(VLOOKUP($B1024,Ref_Acuerdos!$A:$E,2,FALSE())="PTA",$A1024&gt;=VLOOKUP($B1024,Ref_Acuerdos!$A:$E,3,FALSE())),1,0),0)</f>
        <v>0</v>
      </c>
      <c r="J1024" s="7" t="str">
        <f aca="false">IFERROR(IF($A1024&gt;=VLOOKUP($B1024,Ref_Acuerdos!$A:$E,3,FALSE()),VLOOKUP($B1024,Ref_Acuerdos!$A:$E,4,FALSE()),""),"")</f>
        <v/>
      </c>
      <c r="K1024" s="4" t="str">
        <f aca="false">IFERROR(IF($A1024&gt;=VLOOKUP($B1024,Ref_Acuerdos!$A:$E,3,FALSE()),VLOOKUP($B1024,Ref_Acuerdos!$A:$E,5,FALSE()),"Sin FTA/PTA vigente ese año - arancel NMF"),"Sin FTA/PTA identificado - arancel NMF")</f>
        <v>Sin FTA/PTA identificado - arancel NMF</v>
      </c>
    </row>
    <row r="1025" customFormat="false" ht="15" hidden="false" customHeight="false" outlineLevel="0" collapsed="false">
      <c r="A1025" s="2" t="n">
        <v>2024</v>
      </c>
      <c r="B1025" s="2" t="s">
        <v>24</v>
      </c>
      <c r="C1025" s="4" t="str">
        <f aca="false">IFERROR(VLOOKUP($B1025,Ref_Continente!$A:$B,2,FALSE()),"Sin clasificar")</f>
        <v>Europe</v>
      </c>
      <c r="D1025" s="5" t="n">
        <v>500</v>
      </c>
      <c r="E1025" s="6" t="n">
        <v>300</v>
      </c>
      <c r="F1025" s="6" t="n">
        <v>10870</v>
      </c>
      <c r="G1025" s="5" t="n">
        <v>113343355779.99</v>
      </c>
      <c r="H1025" s="4" t="n">
        <f aca="false">IFERROR(IF(AND(VLOOKUP($B1025,Ref_Acuerdos!$A:$E,2,FALSE())="FTA",$A1025&gt;=VLOOKUP($B1025,Ref_Acuerdos!$A:$E,3,FALSE())),1,0),0)</f>
        <v>1</v>
      </c>
      <c r="I1025" s="4" t="n">
        <f aca="false">IFERROR(IF(AND(VLOOKUP($B1025,Ref_Acuerdos!$A:$E,2,FALSE())="PTA",$A1025&gt;=VLOOKUP($B1025,Ref_Acuerdos!$A:$E,3,FALSE())),1,0),0)</f>
        <v>0</v>
      </c>
      <c r="J1025" s="7" t="n">
        <f aca="false">IFERROR(IF($A1025&gt;=VLOOKUP($B1025,Ref_Acuerdos!$A:$E,3,FALSE()),VLOOKUP($B1025,Ref_Acuerdos!$A:$E,4,FALSE()),""),"")</f>
        <v>0</v>
      </c>
      <c r="K1025" s="4" t="str">
        <f aca="false">IFERROR(IF($A1025&gt;=VLOOKUP($B1025,Ref_Acuerdos!$A:$E,3,FALSE()),VLOOKUP($B1025,Ref_Acuerdos!$A:$E,5,FALSE()),"Sin FTA/PTA vigente ese año - arancel NMF"),"Sin FTA/PTA identificado - arancel NMF")</f>
        <v>UE-Ecuador Acuerdo Multipartes, vigente desde ene-2017</v>
      </c>
    </row>
    <row r="1026" customFormat="false" ht="15" hidden="false" customHeight="false" outlineLevel="0" collapsed="false">
      <c r="A1026" s="2" t="n">
        <v>2024</v>
      </c>
      <c r="B1026" s="2" t="s">
        <v>31</v>
      </c>
      <c r="C1026" s="4" t="str">
        <f aca="false">IFERROR(VLOOKUP($B1026,Ref_Continente!$A:$B,2,FALSE()),"Sin clasificar")</f>
        <v>Europe</v>
      </c>
      <c r="D1026" s="5" t="n">
        <v>500</v>
      </c>
      <c r="E1026" s="6" t="n">
        <v>300</v>
      </c>
      <c r="F1026" s="6" t="n">
        <v>10400</v>
      </c>
      <c r="G1026" s="5" t="n">
        <v>92983810328.91</v>
      </c>
      <c r="H1026" s="4" t="n">
        <f aca="false">IFERROR(IF(AND(VLOOKUP($B1026,Ref_Acuerdos!$A:$E,2,FALSE())="FTA",$A1026&gt;=VLOOKUP($B1026,Ref_Acuerdos!$A:$E,3,FALSE())),1,0),0)</f>
        <v>1</v>
      </c>
      <c r="I1026" s="4" t="n">
        <f aca="false">IFERROR(IF(AND(VLOOKUP($B1026,Ref_Acuerdos!$A:$E,2,FALSE())="PTA",$A1026&gt;=VLOOKUP($B1026,Ref_Acuerdos!$A:$E,3,FALSE())),1,0),0)</f>
        <v>0</v>
      </c>
      <c r="J1026" s="7" t="n">
        <f aca="false">IFERROR(IF($A1026&gt;=VLOOKUP($B1026,Ref_Acuerdos!$A:$E,3,FALSE()),VLOOKUP($B1026,Ref_Acuerdos!$A:$E,4,FALSE()),""),"")</f>
        <v>0</v>
      </c>
      <c r="K1026" s="4" t="str">
        <f aca="false">IFERROR(IF($A1026&gt;=VLOOKUP($B1026,Ref_Acuerdos!$A:$E,3,FALSE()),VLOOKUP($B1026,Ref_Acuerdos!$A:$E,5,FALSE()),"Sin FTA/PTA vigente ese año - arancel NMF"),"Sin FTA/PTA identificado - arancel NMF")</f>
        <v>UE-Ecuador Acuerdo Multipartes, vigente desde ene-2017</v>
      </c>
    </row>
    <row r="1027" customFormat="false" ht="15" hidden="false" customHeight="false" outlineLevel="0" collapsed="false">
      <c r="A1027" s="2" t="n">
        <v>2024</v>
      </c>
      <c r="B1027" s="2" t="s">
        <v>93</v>
      </c>
      <c r="C1027" s="4" t="str">
        <f aca="false">IFERROR(VLOOKUP($B1027,Ref_Continente!$A:$B,2,FALSE()),"Sin clasificar")</f>
        <v>Asia</v>
      </c>
      <c r="D1027" s="5" t="n">
        <v>250</v>
      </c>
      <c r="E1027" s="6" t="n">
        <v>150</v>
      </c>
      <c r="F1027" s="6" t="n">
        <v>15250</v>
      </c>
      <c r="G1027" s="5" t="n">
        <v>1875388209406.8</v>
      </c>
      <c r="H1027" s="4" t="n">
        <f aca="false">IFERROR(IF(AND(VLOOKUP($B1027,Ref_Acuerdos!$A:$E,2,FALSE())="FTA",$A1027&gt;=VLOOKUP($B1027,Ref_Acuerdos!$A:$E,3,FALSE())),1,0),0)</f>
        <v>0</v>
      </c>
      <c r="I1027" s="4" t="n">
        <f aca="false">IFERROR(IF(AND(VLOOKUP($B1027,Ref_Acuerdos!$A:$E,2,FALSE())="PTA",$A1027&gt;=VLOOKUP($B1027,Ref_Acuerdos!$A:$E,3,FALSE())),1,0),0)</f>
        <v>0</v>
      </c>
      <c r="J1027" s="7" t="str">
        <f aca="false">IFERROR(IF($A1027&gt;=VLOOKUP($B1027,Ref_Acuerdos!$A:$E,3,FALSE()),VLOOKUP($B1027,Ref_Acuerdos!$A:$E,4,FALSE()),""),"")</f>
        <v/>
      </c>
      <c r="K1027" s="4" t="str">
        <f aca="false">IFERROR(IF($A1027&gt;=VLOOKUP($B1027,Ref_Acuerdos!$A:$E,3,FALSE()),VLOOKUP($B1027,Ref_Acuerdos!$A:$E,5,FALSE()),"Sin FTA/PTA vigente ese año - arancel NMF"),"Sin FTA/PTA identificado - arancel NMF")</f>
        <v>Sin FTA/PTA identificado - arancel NMF</v>
      </c>
    </row>
    <row r="1028" customFormat="false" ht="15" hidden="false" customHeight="false" outlineLevel="0" collapsed="false">
      <c r="A1028" s="2" t="n">
        <v>2024</v>
      </c>
      <c r="B1028" s="2" t="s">
        <v>74</v>
      </c>
      <c r="C1028" s="4" t="str">
        <f aca="false">IFERROR(VLOOKUP($B1028,Ref_Continente!$A:$B,2,FALSE()),"Sin clasificar")</f>
        <v>Asia</v>
      </c>
      <c r="D1028" s="5" t="n">
        <v>60</v>
      </c>
      <c r="E1028" s="6" t="n">
        <v>11.6</v>
      </c>
      <c r="F1028" s="6" t="n">
        <v>14400</v>
      </c>
      <c r="G1028" s="5" t="n">
        <v>23794540024.51</v>
      </c>
      <c r="H1028" s="4" t="n">
        <f aca="false">IFERROR(IF(AND(VLOOKUP($B1028,Ref_Acuerdos!$A:$E,2,FALSE())="FTA",$A1028&gt;=VLOOKUP($B1028,Ref_Acuerdos!$A:$E,3,FALSE())),1,0),0)</f>
        <v>0</v>
      </c>
      <c r="I1028" s="4" t="n">
        <f aca="false">IFERROR(IF(AND(VLOOKUP($B1028,Ref_Acuerdos!$A:$E,2,FALSE())="PTA",$A1028&gt;=VLOOKUP($B1028,Ref_Acuerdos!$A:$E,3,FALSE())),1,0),0)</f>
        <v>0</v>
      </c>
      <c r="J1028" s="7" t="str">
        <f aca="false">IFERROR(IF($A1028&gt;=VLOOKUP($B1028,Ref_Acuerdos!$A:$E,3,FALSE()),VLOOKUP($B1028,Ref_Acuerdos!$A:$E,4,FALSE()),""),"")</f>
        <v/>
      </c>
      <c r="K1028" s="4" t="str">
        <f aca="false">IFERROR(IF($A1028&gt;=VLOOKUP($B1028,Ref_Acuerdos!$A:$E,3,FALSE()),VLOOKUP($B1028,Ref_Acuerdos!$A:$E,5,FALSE()),"Sin FTA/PTA vigente ese año - arancel NMF"),"Sin FTA/PTA identificado - arancel NMF")</f>
        <v>Sin FTA/PTA identificado - arancel NMF</v>
      </c>
    </row>
    <row r="1029" customFormat="false" ht="15" hidden="false" customHeight="false" outlineLevel="0" collapsed="false">
      <c r="A1029" s="2" t="n">
        <v>2024</v>
      </c>
      <c r="B1029" s="2" t="s">
        <v>41</v>
      </c>
      <c r="C1029" s="4" t="str">
        <f aca="false">IFERROR(VLOOKUP($B1029,Ref_Continente!$A:$B,2,FALSE()),"Sin clasificar")</f>
        <v>Europe</v>
      </c>
      <c r="D1029" s="5" t="n">
        <v>10</v>
      </c>
      <c r="E1029" s="6" t="n">
        <v>2.1</v>
      </c>
      <c r="F1029" s="6" t="n">
        <v>10450</v>
      </c>
      <c r="G1029" s="5" t="n">
        <v>298696961297.66</v>
      </c>
      <c r="H1029" s="4" t="n">
        <f aca="false">IFERROR(IF(AND(VLOOKUP($B1029,Ref_Acuerdos!$A:$E,2,FALSE())="FTA",$A1029&gt;=VLOOKUP($B1029,Ref_Acuerdos!$A:$E,3,FALSE())),1,0),0)</f>
        <v>1</v>
      </c>
      <c r="I1029" s="4" t="n">
        <f aca="false">IFERROR(IF(AND(VLOOKUP($B1029,Ref_Acuerdos!$A:$E,2,FALSE())="PTA",$A1029&gt;=VLOOKUP($B1029,Ref_Acuerdos!$A:$E,3,FALSE())),1,0),0)</f>
        <v>0</v>
      </c>
      <c r="J1029" s="7" t="n">
        <f aca="false">IFERROR(IF($A1029&gt;=VLOOKUP($B1029,Ref_Acuerdos!$A:$E,3,FALSE()),VLOOKUP($B1029,Ref_Acuerdos!$A:$E,4,FALSE()),""),"")</f>
        <v>0</v>
      </c>
      <c r="K1029" s="4" t="str">
        <f aca="false">IFERROR(IF($A1029&gt;=VLOOKUP($B1029,Ref_Acuerdos!$A:$E,3,FALSE()),VLOOKUP($B1029,Ref_Acuerdos!$A:$E,5,FALSE()),"Sin FTA/PTA vigente ese año - arancel NMF"),"Sin FTA/PTA identificado - arancel NMF")</f>
        <v>UE-Ecuador Acuerdo Multipartes, vigente desde ene-2017</v>
      </c>
    </row>
    <row r="1032" customFormat="false" ht="15" hidden="false" customHeight="true" outlineLevel="0" collapsed="false">
      <c r="A1032" s="8" t="s">
        <v>146</v>
      </c>
      <c r="B1032" s="8"/>
      <c r="C1032" s="8"/>
      <c r="D1032" s="8"/>
      <c r="E1032" s="8"/>
      <c r="F1032" s="8"/>
      <c r="G1032" s="8"/>
      <c r="H1032" s="8"/>
      <c r="I1032" s="8"/>
      <c r="J1032" s="8"/>
      <c r="K1032" s="8"/>
    </row>
    <row r="1033" customFormat="false" ht="15" hidden="false" customHeight="false" outlineLevel="0" collapsed="false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</row>
    <row r="1034" customFormat="false" ht="15" hidden="false" customHeight="false" outlineLevel="0" collapsed="false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</row>
  </sheetData>
  <mergeCells count="1">
    <mergeCell ref="A1032:K10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8"/>
  </cols>
  <sheetData>
    <row r="1" customFormat="false" ht="15" hidden="false" customHeight="false" outlineLevel="0" collapsed="false">
      <c r="A1" s="1" t="s">
        <v>137</v>
      </c>
      <c r="B1" s="1" t="s">
        <v>11</v>
      </c>
      <c r="C1" s="1" t="s">
        <v>7</v>
      </c>
      <c r="D1" s="1" t="s">
        <v>15</v>
      </c>
      <c r="E1" s="1" t="s">
        <v>9</v>
      </c>
      <c r="F1" s="1" t="s">
        <v>3</v>
      </c>
      <c r="G1" s="1" t="s">
        <v>13</v>
      </c>
      <c r="H1" s="1" t="s">
        <v>5</v>
      </c>
    </row>
    <row r="2" customFormat="false" ht="15" hidden="false" customHeight="false" outlineLevel="0" collapsed="false">
      <c r="A2" s="2" t="n">
        <v>2008</v>
      </c>
      <c r="B2" s="9" t="n">
        <f aca="false">SUMIFS(Datos!$D:$D,Datos!$A:$A,$A2,Datos!$C:$C,B$1)</f>
        <v>250714</v>
      </c>
      <c r="C2" s="9" t="n">
        <f aca="false">SUMIFS(Datos!$D:$D,Datos!$A:$A,$A2,Datos!$C:$C,C$1)</f>
        <v>14458</v>
      </c>
      <c r="D2" s="9" t="n">
        <f aca="false">SUMIFS(Datos!$D:$D,Datos!$A:$A,$A2,Datos!$C:$C,D$1)</f>
        <v>286833</v>
      </c>
      <c r="E2" s="9" t="n">
        <f aca="false">SUMIFS(Datos!$D:$D,Datos!$A:$A,$A2,Datos!$C:$C,E$1)</f>
        <v>1532</v>
      </c>
      <c r="F2" s="9" t="n">
        <f aca="false">SUMIFS(Datos!$D:$D,Datos!$A:$A,$A2,Datos!$C:$C,F$1)</f>
        <v>0</v>
      </c>
      <c r="G2" s="9" t="n">
        <f aca="false">SUMIFS(Datos!$D:$D,Datos!$A:$A,$A2,Datos!$C:$C,G$1)</f>
        <v>156</v>
      </c>
      <c r="H2" s="9" t="n">
        <f aca="false">SUMIFS(Datos!$D:$D,Datos!$A:$A,$A2,Datos!$C:$C,H$1)</f>
        <v>2029</v>
      </c>
    </row>
    <row r="3" customFormat="false" ht="15" hidden="false" customHeight="false" outlineLevel="0" collapsed="false">
      <c r="A3" s="2" t="n">
        <v>2009</v>
      </c>
      <c r="B3" s="9" t="n">
        <f aca="false">SUMIFS(Datos!$D:$D,Datos!$A:$A,$A3,Datos!$C:$C,B$1)</f>
        <v>2231751</v>
      </c>
      <c r="C3" s="9" t="n">
        <f aca="false">SUMIFS(Datos!$D:$D,Datos!$A:$A,$A3,Datos!$C:$C,C$1)</f>
        <v>225157</v>
      </c>
      <c r="D3" s="9" t="n">
        <f aca="false">SUMIFS(Datos!$D:$D,Datos!$A:$A,$A3,Datos!$C:$C,D$1)</f>
        <v>5323041</v>
      </c>
      <c r="E3" s="9" t="n">
        <f aca="false">SUMIFS(Datos!$D:$D,Datos!$A:$A,$A3,Datos!$C:$C,E$1)</f>
        <v>298973</v>
      </c>
      <c r="F3" s="9" t="n">
        <f aca="false">SUMIFS(Datos!$D:$D,Datos!$A:$A,$A3,Datos!$C:$C,F$1)</f>
        <v>0</v>
      </c>
      <c r="G3" s="9" t="n">
        <f aca="false">SUMIFS(Datos!$D:$D,Datos!$A:$A,$A3,Datos!$C:$C,G$1)</f>
        <v>71046</v>
      </c>
      <c r="H3" s="9" t="n">
        <f aca="false">SUMIFS(Datos!$D:$D,Datos!$A:$A,$A3,Datos!$C:$C,H$1)</f>
        <v>0</v>
      </c>
    </row>
    <row r="4" customFormat="false" ht="15" hidden="false" customHeight="false" outlineLevel="0" collapsed="false">
      <c r="A4" s="2" t="n">
        <v>2010</v>
      </c>
      <c r="B4" s="9" t="n">
        <f aca="false">SUMIFS(Datos!$D:$D,Datos!$A:$A,$A4,Datos!$C:$C,B$1)</f>
        <v>4913774</v>
      </c>
      <c r="C4" s="9" t="n">
        <f aca="false">SUMIFS(Datos!$D:$D,Datos!$A:$A,$A4,Datos!$C:$C,C$1)</f>
        <v>354666</v>
      </c>
      <c r="D4" s="9" t="n">
        <f aca="false">SUMIFS(Datos!$D:$D,Datos!$A:$A,$A4,Datos!$C:$C,D$1)</f>
        <v>10865744</v>
      </c>
      <c r="E4" s="9" t="n">
        <f aca="false">SUMIFS(Datos!$D:$D,Datos!$A:$A,$A4,Datos!$C:$C,E$1)</f>
        <v>904487</v>
      </c>
      <c r="F4" s="9" t="n">
        <f aca="false">SUMIFS(Datos!$D:$D,Datos!$A:$A,$A4,Datos!$C:$C,F$1)</f>
        <v>0</v>
      </c>
      <c r="G4" s="9" t="n">
        <f aca="false">SUMIFS(Datos!$D:$D,Datos!$A:$A,$A4,Datos!$C:$C,G$1)</f>
        <v>25781</v>
      </c>
      <c r="H4" s="9" t="n">
        <f aca="false">SUMIFS(Datos!$D:$D,Datos!$A:$A,$A4,Datos!$C:$C,H$1)</f>
        <v>113917</v>
      </c>
    </row>
    <row r="5" customFormat="false" ht="15" hidden="false" customHeight="false" outlineLevel="0" collapsed="false">
      <c r="A5" s="2" t="n">
        <v>2011</v>
      </c>
      <c r="B5" s="9" t="n">
        <f aca="false">SUMIFS(Datos!$D:$D,Datos!$A:$A,$A5,Datos!$C:$C,B$1)</f>
        <v>3343338</v>
      </c>
      <c r="C5" s="9" t="n">
        <f aca="false">SUMIFS(Datos!$D:$D,Datos!$A:$A,$A5,Datos!$C:$C,C$1)</f>
        <v>735739</v>
      </c>
      <c r="D5" s="9" t="n">
        <f aca="false">SUMIFS(Datos!$D:$D,Datos!$A:$A,$A5,Datos!$C:$C,D$1)</f>
        <v>8726795</v>
      </c>
      <c r="E5" s="9" t="n">
        <f aca="false">SUMIFS(Datos!$D:$D,Datos!$A:$A,$A5,Datos!$C:$C,E$1)</f>
        <v>1351265</v>
      </c>
      <c r="F5" s="9" t="n">
        <f aca="false">SUMIFS(Datos!$D:$D,Datos!$A:$A,$A5,Datos!$C:$C,F$1)</f>
        <v>0</v>
      </c>
      <c r="G5" s="9" t="n">
        <f aca="false">SUMIFS(Datos!$D:$D,Datos!$A:$A,$A5,Datos!$C:$C,G$1)</f>
        <v>6518</v>
      </c>
      <c r="H5" s="9" t="n">
        <f aca="false">SUMIFS(Datos!$D:$D,Datos!$A:$A,$A5,Datos!$C:$C,H$1)</f>
        <v>473926</v>
      </c>
    </row>
    <row r="6" customFormat="false" ht="15" hidden="false" customHeight="false" outlineLevel="0" collapsed="false">
      <c r="A6" s="2" t="n">
        <v>2012</v>
      </c>
      <c r="B6" s="9" t="n">
        <f aca="false">SUMIFS(Datos!$D:$D,Datos!$A:$A,$A6,Datos!$C:$C,B$1)</f>
        <v>4293464</v>
      </c>
      <c r="C6" s="9" t="n">
        <f aca="false">SUMIFS(Datos!$D:$D,Datos!$A:$A,$A6,Datos!$C:$C,C$1)</f>
        <v>865366</v>
      </c>
      <c r="D6" s="9" t="n">
        <f aca="false">SUMIFS(Datos!$D:$D,Datos!$A:$A,$A6,Datos!$C:$C,D$1)</f>
        <v>9254745</v>
      </c>
      <c r="E6" s="9" t="n">
        <f aca="false">SUMIFS(Datos!$D:$D,Datos!$A:$A,$A6,Datos!$C:$C,E$1)</f>
        <v>2271926</v>
      </c>
      <c r="F6" s="9" t="n">
        <f aca="false">SUMIFS(Datos!$D:$D,Datos!$A:$A,$A6,Datos!$C:$C,F$1)</f>
        <v>0</v>
      </c>
      <c r="G6" s="9" t="n">
        <f aca="false">SUMIFS(Datos!$D:$D,Datos!$A:$A,$A6,Datos!$C:$C,G$1)</f>
        <v>22033</v>
      </c>
      <c r="H6" s="9" t="n">
        <f aca="false">SUMIFS(Datos!$D:$D,Datos!$A:$A,$A6,Datos!$C:$C,H$1)</f>
        <v>435071</v>
      </c>
    </row>
    <row r="7" customFormat="false" ht="15" hidden="false" customHeight="false" outlineLevel="0" collapsed="false">
      <c r="A7" s="2" t="n">
        <v>2013</v>
      </c>
      <c r="B7" s="9" t="n">
        <f aca="false">SUMIFS(Datos!$D:$D,Datos!$A:$A,$A7,Datos!$C:$C,B$1)</f>
        <v>8351974</v>
      </c>
      <c r="C7" s="9" t="n">
        <f aca="false">SUMIFS(Datos!$D:$D,Datos!$A:$A,$A7,Datos!$C:$C,C$1)</f>
        <v>742768</v>
      </c>
      <c r="D7" s="9" t="n">
        <f aca="false">SUMIFS(Datos!$D:$D,Datos!$A:$A,$A7,Datos!$C:$C,D$1)</f>
        <v>8282815</v>
      </c>
      <c r="E7" s="9" t="n">
        <f aca="false">SUMIFS(Datos!$D:$D,Datos!$A:$A,$A7,Datos!$C:$C,E$1)</f>
        <v>1223648</v>
      </c>
      <c r="F7" s="9" t="n">
        <f aca="false">SUMIFS(Datos!$D:$D,Datos!$A:$A,$A7,Datos!$C:$C,F$1)</f>
        <v>0</v>
      </c>
      <c r="G7" s="9" t="n">
        <f aca="false">SUMIFS(Datos!$D:$D,Datos!$A:$A,$A7,Datos!$C:$C,G$1)</f>
        <v>10838</v>
      </c>
      <c r="H7" s="9" t="n">
        <f aca="false">SUMIFS(Datos!$D:$D,Datos!$A:$A,$A7,Datos!$C:$C,H$1)</f>
        <v>180</v>
      </c>
    </row>
    <row r="8" customFormat="false" ht="15" hidden="false" customHeight="false" outlineLevel="0" collapsed="false">
      <c r="A8" s="2" t="n">
        <v>2014</v>
      </c>
      <c r="B8" s="9" t="n">
        <f aca="false">SUMIFS(Datos!$D:$D,Datos!$A:$A,$A8,Datos!$C:$C,B$1)</f>
        <v>3597184</v>
      </c>
      <c r="C8" s="9" t="n">
        <f aca="false">SUMIFS(Datos!$D:$D,Datos!$A:$A,$A8,Datos!$C:$C,C$1)</f>
        <v>374500</v>
      </c>
      <c r="D8" s="9" t="n">
        <f aca="false">SUMIFS(Datos!$D:$D,Datos!$A:$A,$A8,Datos!$C:$C,D$1)</f>
        <v>9625831</v>
      </c>
      <c r="E8" s="9" t="n">
        <f aca="false">SUMIFS(Datos!$D:$D,Datos!$A:$A,$A8,Datos!$C:$C,E$1)</f>
        <v>3560466</v>
      </c>
      <c r="F8" s="9" t="n">
        <f aca="false">SUMIFS(Datos!$D:$D,Datos!$A:$A,$A8,Datos!$C:$C,F$1)</f>
        <v>0</v>
      </c>
      <c r="G8" s="9" t="n">
        <f aca="false">SUMIFS(Datos!$D:$D,Datos!$A:$A,$A8,Datos!$C:$C,G$1)</f>
        <v>14122</v>
      </c>
      <c r="H8" s="9" t="n">
        <f aca="false">SUMIFS(Datos!$D:$D,Datos!$A:$A,$A8,Datos!$C:$C,H$1)</f>
        <v>0</v>
      </c>
    </row>
    <row r="9" customFormat="false" ht="15" hidden="false" customHeight="false" outlineLevel="0" collapsed="false">
      <c r="A9" s="2" t="n">
        <v>2015</v>
      </c>
      <c r="B9" s="9" t="n">
        <f aca="false">SUMIFS(Datos!$D:$D,Datos!$A:$A,$A9,Datos!$C:$C,B$1)</f>
        <v>2735463</v>
      </c>
      <c r="C9" s="9" t="n">
        <f aca="false">SUMIFS(Datos!$D:$D,Datos!$A:$A,$A9,Datos!$C:$C,C$1)</f>
        <v>410587</v>
      </c>
      <c r="D9" s="9" t="n">
        <f aca="false">SUMIFS(Datos!$D:$D,Datos!$A:$A,$A9,Datos!$C:$C,D$1)</f>
        <v>8412542</v>
      </c>
      <c r="E9" s="9" t="n">
        <f aca="false">SUMIFS(Datos!$D:$D,Datos!$A:$A,$A9,Datos!$C:$C,E$1)</f>
        <v>5394035</v>
      </c>
      <c r="F9" s="9" t="n">
        <f aca="false">SUMIFS(Datos!$D:$D,Datos!$A:$A,$A9,Datos!$C:$C,F$1)</f>
        <v>84</v>
      </c>
      <c r="G9" s="9" t="n">
        <f aca="false">SUMIFS(Datos!$D:$D,Datos!$A:$A,$A9,Datos!$C:$C,G$1)</f>
        <v>235577</v>
      </c>
      <c r="H9" s="9" t="n">
        <f aca="false">SUMIFS(Datos!$D:$D,Datos!$A:$A,$A9,Datos!$C:$C,H$1)</f>
        <v>0</v>
      </c>
    </row>
    <row r="10" customFormat="false" ht="15" hidden="false" customHeight="false" outlineLevel="0" collapsed="false">
      <c r="A10" s="2" t="n">
        <v>2016</v>
      </c>
      <c r="B10" s="9" t="n">
        <f aca="false">SUMIFS(Datos!$D:$D,Datos!$A:$A,$A10,Datos!$C:$C,B$1)</f>
        <v>2571728</v>
      </c>
      <c r="C10" s="9" t="n">
        <f aca="false">SUMIFS(Datos!$D:$D,Datos!$A:$A,$A10,Datos!$C:$C,C$1)</f>
        <v>435015</v>
      </c>
      <c r="D10" s="9" t="n">
        <f aca="false">SUMIFS(Datos!$D:$D,Datos!$A:$A,$A10,Datos!$C:$C,D$1)</f>
        <v>6825699</v>
      </c>
      <c r="E10" s="9" t="n">
        <f aca="false">SUMIFS(Datos!$D:$D,Datos!$A:$A,$A10,Datos!$C:$C,E$1)</f>
        <v>4805325</v>
      </c>
      <c r="F10" s="9" t="n">
        <f aca="false">SUMIFS(Datos!$D:$D,Datos!$A:$A,$A10,Datos!$C:$C,F$1)</f>
        <v>0</v>
      </c>
      <c r="G10" s="9" t="n">
        <f aca="false">SUMIFS(Datos!$D:$D,Datos!$A:$A,$A10,Datos!$C:$C,G$1)</f>
        <v>304513</v>
      </c>
      <c r="H10" s="9" t="n">
        <f aca="false">SUMIFS(Datos!$D:$D,Datos!$A:$A,$A10,Datos!$C:$C,H$1)</f>
        <v>0</v>
      </c>
    </row>
    <row r="11" customFormat="false" ht="15" hidden="false" customHeight="false" outlineLevel="0" collapsed="false">
      <c r="A11" s="2" t="n">
        <v>2017</v>
      </c>
      <c r="B11" s="9" t="n">
        <f aca="false">SUMIFS(Datos!$D:$D,Datos!$A:$A,$A11,Datos!$C:$C,B$1)</f>
        <v>2245593</v>
      </c>
      <c r="C11" s="9" t="n">
        <f aca="false">SUMIFS(Datos!$D:$D,Datos!$A:$A,$A11,Datos!$C:$C,C$1)</f>
        <v>506368</v>
      </c>
      <c r="D11" s="9" t="n">
        <f aca="false">SUMIFS(Datos!$D:$D,Datos!$A:$A,$A11,Datos!$C:$C,D$1)</f>
        <v>8937578</v>
      </c>
      <c r="E11" s="9" t="n">
        <f aca="false">SUMIFS(Datos!$D:$D,Datos!$A:$A,$A11,Datos!$C:$C,E$1)</f>
        <v>5459552</v>
      </c>
      <c r="F11" s="9" t="n">
        <f aca="false">SUMIFS(Datos!$D:$D,Datos!$A:$A,$A11,Datos!$C:$C,F$1)</f>
        <v>200</v>
      </c>
      <c r="G11" s="9" t="n">
        <f aca="false">SUMIFS(Datos!$D:$D,Datos!$A:$A,$A11,Datos!$C:$C,G$1)</f>
        <v>423529</v>
      </c>
      <c r="H11" s="9" t="n">
        <f aca="false">SUMIFS(Datos!$D:$D,Datos!$A:$A,$A11,Datos!$C:$C,H$1)</f>
        <v>0</v>
      </c>
    </row>
    <row r="12" customFormat="false" ht="15" hidden="false" customHeight="false" outlineLevel="0" collapsed="false">
      <c r="A12" s="2" t="n">
        <v>2018</v>
      </c>
      <c r="B12" s="9" t="n">
        <f aca="false">SUMIFS(Datos!$D:$D,Datos!$A:$A,$A12,Datos!$C:$C,B$1)</f>
        <v>2118425</v>
      </c>
      <c r="C12" s="9" t="n">
        <f aca="false">SUMIFS(Datos!$D:$D,Datos!$A:$A,$A12,Datos!$C:$C,C$1)</f>
        <v>597183</v>
      </c>
      <c r="D12" s="9" t="n">
        <f aca="false">SUMIFS(Datos!$D:$D,Datos!$A:$A,$A12,Datos!$C:$C,D$1)</f>
        <v>10294662</v>
      </c>
      <c r="E12" s="9" t="n">
        <f aca="false">SUMIFS(Datos!$D:$D,Datos!$A:$A,$A12,Datos!$C:$C,E$1)</f>
        <v>5679385</v>
      </c>
      <c r="F12" s="9" t="n">
        <f aca="false">SUMIFS(Datos!$D:$D,Datos!$A:$A,$A12,Datos!$C:$C,F$1)</f>
        <v>0</v>
      </c>
      <c r="G12" s="9" t="n">
        <f aca="false">SUMIFS(Datos!$D:$D,Datos!$A:$A,$A12,Datos!$C:$C,G$1)</f>
        <v>266428</v>
      </c>
      <c r="H12" s="9" t="n">
        <f aca="false">SUMIFS(Datos!$D:$D,Datos!$A:$A,$A12,Datos!$C:$C,H$1)</f>
        <v>0</v>
      </c>
    </row>
    <row r="13" customFormat="false" ht="15" hidden="false" customHeight="false" outlineLevel="0" collapsed="false">
      <c r="A13" s="2" t="n">
        <v>2019</v>
      </c>
      <c r="B13" s="9" t="n">
        <f aca="false">SUMIFS(Datos!$D:$D,Datos!$A:$A,$A13,Datos!$C:$C,B$1)</f>
        <v>2320693</v>
      </c>
      <c r="C13" s="9" t="n">
        <f aca="false">SUMIFS(Datos!$D:$D,Datos!$A:$A,$A13,Datos!$C:$C,C$1)</f>
        <v>530078</v>
      </c>
      <c r="D13" s="9" t="n">
        <f aca="false">SUMIFS(Datos!$D:$D,Datos!$A:$A,$A13,Datos!$C:$C,D$1)</f>
        <v>8757063</v>
      </c>
      <c r="E13" s="9" t="n">
        <f aca="false">SUMIFS(Datos!$D:$D,Datos!$A:$A,$A13,Datos!$C:$C,E$1)</f>
        <v>5860639</v>
      </c>
      <c r="F13" s="9" t="n">
        <f aca="false">SUMIFS(Datos!$D:$D,Datos!$A:$A,$A13,Datos!$C:$C,F$1)</f>
        <v>0</v>
      </c>
      <c r="G13" s="9" t="n">
        <f aca="false">SUMIFS(Datos!$D:$D,Datos!$A:$A,$A13,Datos!$C:$C,G$1)</f>
        <v>242487</v>
      </c>
      <c r="H13" s="9" t="n">
        <f aca="false">SUMIFS(Datos!$D:$D,Datos!$A:$A,$A13,Datos!$C:$C,H$1)</f>
        <v>0</v>
      </c>
    </row>
    <row r="14" customFormat="false" ht="15" hidden="false" customHeight="false" outlineLevel="0" collapsed="false">
      <c r="A14" s="2" t="n">
        <v>2020</v>
      </c>
      <c r="B14" s="9" t="n">
        <f aca="false">SUMIFS(Datos!$D:$D,Datos!$A:$A,$A14,Datos!$C:$C,B$1)</f>
        <v>2092138</v>
      </c>
      <c r="C14" s="9" t="n">
        <f aca="false">SUMIFS(Datos!$D:$D,Datos!$A:$A,$A14,Datos!$C:$C,C$1)</f>
        <v>291142</v>
      </c>
      <c r="D14" s="9" t="n">
        <f aca="false">SUMIFS(Datos!$D:$D,Datos!$A:$A,$A14,Datos!$C:$C,D$1)</f>
        <v>8081672</v>
      </c>
      <c r="E14" s="9" t="n">
        <f aca="false">SUMIFS(Datos!$D:$D,Datos!$A:$A,$A14,Datos!$C:$C,E$1)</f>
        <v>5917634</v>
      </c>
      <c r="F14" s="9" t="n">
        <f aca="false">SUMIFS(Datos!$D:$D,Datos!$A:$A,$A14,Datos!$C:$C,F$1)</f>
        <v>111</v>
      </c>
      <c r="G14" s="9" t="n">
        <f aca="false">SUMIFS(Datos!$D:$D,Datos!$A:$A,$A14,Datos!$C:$C,G$1)</f>
        <v>267847</v>
      </c>
      <c r="H14" s="9" t="n">
        <f aca="false">SUMIFS(Datos!$D:$D,Datos!$A:$A,$A14,Datos!$C:$C,H$1)</f>
        <v>0</v>
      </c>
    </row>
    <row r="15" customFormat="false" ht="15" hidden="false" customHeight="false" outlineLevel="0" collapsed="false">
      <c r="A15" s="2" t="n">
        <v>2021</v>
      </c>
      <c r="B15" s="9" t="n">
        <f aca="false">SUMIFS(Datos!$D:$D,Datos!$A:$A,$A15,Datos!$C:$C,B$1)</f>
        <v>3140675</v>
      </c>
      <c r="C15" s="9" t="n">
        <f aca="false">SUMIFS(Datos!$D:$D,Datos!$A:$A,$A15,Datos!$C:$C,C$1)</f>
        <v>533434</v>
      </c>
      <c r="D15" s="9" t="n">
        <f aca="false">SUMIFS(Datos!$D:$D,Datos!$A:$A,$A15,Datos!$C:$C,D$1)</f>
        <v>9676457</v>
      </c>
      <c r="E15" s="9" t="n">
        <f aca="false">SUMIFS(Datos!$D:$D,Datos!$A:$A,$A15,Datos!$C:$C,E$1)</f>
        <v>5990917</v>
      </c>
      <c r="F15" s="9" t="n">
        <f aca="false">SUMIFS(Datos!$D:$D,Datos!$A:$A,$A15,Datos!$C:$C,F$1)</f>
        <v>96</v>
      </c>
      <c r="G15" s="9" t="n">
        <f aca="false">SUMIFS(Datos!$D:$D,Datos!$A:$A,$A15,Datos!$C:$C,G$1)</f>
        <v>339158</v>
      </c>
      <c r="H15" s="9" t="n">
        <f aca="false">SUMIFS(Datos!$D:$D,Datos!$A:$A,$A15,Datos!$C:$C,H$1)</f>
        <v>0</v>
      </c>
    </row>
    <row r="16" customFormat="false" ht="15" hidden="false" customHeight="false" outlineLevel="0" collapsed="false">
      <c r="A16" s="2" t="n">
        <v>2022</v>
      </c>
      <c r="B16" s="9" t="n">
        <f aca="false">SUMIFS(Datos!$D:$D,Datos!$A:$A,$A16,Datos!$C:$C,B$1)</f>
        <v>5751126</v>
      </c>
      <c r="C16" s="9" t="n">
        <f aca="false">SUMIFS(Datos!$D:$D,Datos!$A:$A,$A16,Datos!$C:$C,C$1)</f>
        <v>947112</v>
      </c>
      <c r="D16" s="9" t="n">
        <f aca="false">SUMIFS(Datos!$D:$D,Datos!$A:$A,$A16,Datos!$C:$C,D$1)</f>
        <v>5441609</v>
      </c>
      <c r="E16" s="9" t="n">
        <f aca="false">SUMIFS(Datos!$D:$D,Datos!$A:$A,$A16,Datos!$C:$C,E$1)</f>
        <v>12429110</v>
      </c>
      <c r="F16" s="9" t="n">
        <f aca="false">SUMIFS(Datos!$D:$D,Datos!$A:$A,$A16,Datos!$C:$C,F$1)</f>
        <v>0</v>
      </c>
      <c r="G16" s="9" t="n">
        <f aca="false">SUMIFS(Datos!$D:$D,Datos!$A:$A,$A16,Datos!$C:$C,G$1)</f>
        <v>398805</v>
      </c>
      <c r="H16" s="9" t="n">
        <f aca="false">SUMIFS(Datos!$D:$D,Datos!$A:$A,$A16,Datos!$C:$C,H$1)</f>
        <v>0</v>
      </c>
    </row>
    <row r="17" customFormat="false" ht="15" hidden="false" customHeight="false" outlineLevel="0" collapsed="false">
      <c r="A17" s="2" t="n">
        <v>2023</v>
      </c>
      <c r="B17" s="9" t="n">
        <f aca="false">SUMIFS(Datos!$D:$D,Datos!$A:$A,$A17,Datos!$C:$C,B$1)</f>
        <v>4991337</v>
      </c>
      <c r="C17" s="9" t="n">
        <f aca="false">SUMIFS(Datos!$D:$D,Datos!$A:$A,$A17,Datos!$C:$C,C$1)</f>
        <v>770206</v>
      </c>
      <c r="D17" s="9" t="n">
        <f aca="false">SUMIFS(Datos!$D:$D,Datos!$A:$A,$A17,Datos!$C:$C,D$1)</f>
        <v>3376791</v>
      </c>
      <c r="E17" s="9" t="n">
        <f aca="false">SUMIFS(Datos!$D:$D,Datos!$A:$A,$A17,Datos!$C:$C,E$1)</f>
        <v>13340980</v>
      </c>
      <c r="F17" s="9" t="n">
        <f aca="false">SUMIFS(Datos!$D:$D,Datos!$A:$A,$A17,Datos!$C:$C,F$1)</f>
        <v>861</v>
      </c>
      <c r="G17" s="9" t="n">
        <f aca="false">SUMIFS(Datos!$D:$D,Datos!$A:$A,$A17,Datos!$C:$C,G$1)</f>
        <v>268258</v>
      </c>
      <c r="H17" s="9" t="n">
        <f aca="false">SUMIFS(Datos!$D:$D,Datos!$A:$A,$A17,Datos!$C:$C,H$1)</f>
        <v>0</v>
      </c>
    </row>
    <row r="18" customFormat="false" ht="15" hidden="false" customHeight="false" outlineLevel="0" collapsed="false">
      <c r="A18" s="2" t="n">
        <v>2024</v>
      </c>
      <c r="B18" s="9" t="n">
        <f aca="false">SUMIFS(Datos!$D:$D,Datos!$A:$A,$A18,Datos!$C:$C,B$1)</f>
        <v>3825835</v>
      </c>
      <c r="C18" s="9" t="n">
        <f aca="false">SUMIFS(Datos!$D:$D,Datos!$A:$A,$A18,Datos!$C:$C,C$1)</f>
        <v>979807</v>
      </c>
      <c r="D18" s="9" t="n">
        <f aca="false">SUMIFS(Datos!$D:$D,Datos!$A:$A,$A18,Datos!$C:$C,D$1)</f>
        <v>3424082</v>
      </c>
      <c r="E18" s="9" t="n">
        <f aca="false">SUMIFS(Datos!$D:$D,Datos!$A:$A,$A18,Datos!$C:$C,E$1)</f>
        <v>9042703</v>
      </c>
      <c r="F18" s="9" t="n">
        <f aca="false">SUMIFS(Datos!$D:$D,Datos!$A:$A,$A18,Datos!$C:$C,F$1)</f>
        <v>755</v>
      </c>
      <c r="G18" s="9" t="n">
        <f aca="false">SUMIFS(Datos!$D:$D,Datos!$A:$A,$A18,Datos!$C:$C,G$1)</f>
        <v>511737</v>
      </c>
      <c r="H18" s="9" t="n">
        <f aca="false">SUMIFS(Datos!$D:$D,Datos!$A:$A,$A18,Datos!$C:$C,H$1)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147</v>
      </c>
      <c r="D1" s="1" t="s">
        <v>140</v>
      </c>
      <c r="E1" s="1" t="s">
        <v>148</v>
      </c>
    </row>
    <row r="2" customFormat="false" ht="15" hidden="false" customHeight="false" outlineLevel="0" collapsed="false">
      <c r="A2" s="2" t="s">
        <v>96</v>
      </c>
      <c r="B2" s="4" t="str">
        <f aca="false">IFERROR(VLOOKUP($A2,Datos!$B:$C,2,FALSE()),"Sin clasificar")</f>
        <v>Europe</v>
      </c>
      <c r="C2" s="9" t="n">
        <f aca="false">SUMIF(Datos!$B:$B,$A2,Datos!$D:$D)</f>
        <v>75350094</v>
      </c>
      <c r="D2" s="10" t="n">
        <f aca="false">IFERROR(AVERAGEIF(Datos!$B:$B,$A2,Datos!$F:$F),"")</f>
        <v>12000</v>
      </c>
      <c r="E2" s="9" t="n">
        <f aca="false">IFERROR(SUMIFS(Datos!$G:$G,Datos!$B:$B,$A2,Datos!$A:$A,2024),"")</f>
        <v>2173835806671.66</v>
      </c>
    </row>
    <row r="3" customFormat="false" ht="15" hidden="false" customHeight="false" outlineLevel="0" collapsed="false">
      <c r="A3" s="2" t="s">
        <v>61</v>
      </c>
      <c r="B3" s="4" t="str">
        <f aca="false">IFERROR(VLOOKUP($A3,Datos!$B:$C,2,FALSE()),"Sin clasificar")</f>
        <v>Asia</v>
      </c>
      <c r="C3" s="9" t="n">
        <f aca="false">SUMIF(Datos!$B:$B,$A3,Datos!$D:$D)</f>
        <v>64147663</v>
      </c>
      <c r="D3" s="10" t="n">
        <f aca="false">IFERROR(AVERAGEIF(Datos!$B:$B,$A3,Datos!$F:$F),"")</f>
        <v>14500</v>
      </c>
      <c r="E3" s="9" t="n">
        <f aca="false">IFERROR(SUMIFS(Datos!$G:$G,Datos!$B:$B,$A3,Datos!$A:$A,2024),"")</f>
        <v>4027597523550.58</v>
      </c>
    </row>
    <row r="4" customFormat="false" ht="15" hidden="false" customHeight="false" outlineLevel="0" collapsed="false">
      <c r="A4" s="2" t="s">
        <v>114</v>
      </c>
      <c r="B4" s="4" t="str">
        <f aca="false">IFERROR(VLOOKUP($A4,Datos!$B:$C,2,FALSE()),"Sin clasificar")</f>
        <v>North America</v>
      </c>
      <c r="C4" s="9" t="n">
        <f aca="false">SUMIF(Datos!$B:$B,$A4,Datos!$D:$D)</f>
        <v>53108153</v>
      </c>
      <c r="D4" s="10" t="n">
        <f aca="false">IFERROR(AVERAGEIF(Datos!$B:$B,$A4,Datos!$F:$F),"")</f>
        <v>4550</v>
      </c>
      <c r="E4" s="9" t="n">
        <f aca="false">IFERROR(SUMIFS(Datos!$G:$G,Datos!$B:$B,$A4,Datos!$A:$A,2024),"")</f>
        <v>28750956130731.2</v>
      </c>
    </row>
    <row r="5" customFormat="false" ht="15" hidden="false" customHeight="false" outlineLevel="0" collapsed="false">
      <c r="A5" s="2" t="s">
        <v>77</v>
      </c>
      <c r="B5" s="4" t="str">
        <f aca="false">IFERROR(VLOOKUP($A5,Datos!$B:$C,2,FALSE()),"Sin clasificar")</f>
        <v>Europe</v>
      </c>
      <c r="C5" s="9" t="n">
        <f aca="false">SUMIF(Datos!$B:$B,$A5,Datos!$D:$D)</f>
        <v>22010517</v>
      </c>
      <c r="D5" s="10" t="n">
        <f aca="false">IFERROR(AVERAGEIF(Datos!$B:$B,$A5,Datos!$F:$F),"")</f>
        <v>9300</v>
      </c>
      <c r="E5" s="9" t="n">
        <f aca="false">IFERROR(SUMIFS(Datos!$G:$G,Datos!$B:$B,$A5,Datos!$A:$A,2024),"")</f>
        <v>1214927698572.66</v>
      </c>
    </row>
    <row r="6" customFormat="false" ht="15" hidden="false" customHeight="false" outlineLevel="0" collapsed="false">
      <c r="A6" s="2" t="s">
        <v>63</v>
      </c>
      <c r="B6" s="4" t="str">
        <f aca="false">IFERROR(VLOOKUP($A6,Datos!$B:$C,2,FALSE()),"Sin clasificar")</f>
        <v>Asia</v>
      </c>
      <c r="C6" s="9" t="n">
        <f aca="false">SUMIF(Datos!$B:$B,$A6,Datos!$D:$D)</f>
        <v>15232905</v>
      </c>
      <c r="D6" s="10" t="n">
        <f aca="false">IFERROR(AVERAGEIF(Datos!$B:$B,$A6,Datos!$F:$F),"")</f>
        <v>13600</v>
      </c>
      <c r="E6" s="9" t="n">
        <f aca="false">IFERROR(SUMIFS(Datos!$G:$G,Datos!$B:$B,$A6,Datos!$A:$A,2024),"")</f>
        <v>291480274648.83</v>
      </c>
    </row>
    <row r="7" customFormat="false" ht="15" hidden="false" customHeight="false" outlineLevel="0" collapsed="false">
      <c r="A7" s="2" t="s">
        <v>115</v>
      </c>
      <c r="B7" s="4" t="str">
        <f aca="false">IFERROR(VLOOKUP($A7,Datos!$B:$C,2,FALSE()),"Sin clasificar")</f>
        <v>Europe</v>
      </c>
      <c r="C7" s="9" t="n">
        <f aca="false">SUMIF(Datos!$B:$B,$A7,Datos!$D:$D)</f>
        <v>7547669</v>
      </c>
      <c r="D7" s="10" t="n">
        <f aca="false">IFERROR(AVERAGEIF(Datos!$B:$B,$A7,Datos!$F:$F),"")</f>
        <v>11</v>
      </c>
      <c r="E7" s="9" t="n">
        <f aca="false">IFERROR(SUMIFS(Datos!$G:$G,Datos!$B:$B,$A7,Datos!$A:$A,2024),"")</f>
        <v>190741262414.71</v>
      </c>
    </row>
    <row r="8" customFormat="false" ht="15" hidden="false" customHeight="false" outlineLevel="0" collapsed="false">
      <c r="A8" s="2" t="s">
        <v>105</v>
      </c>
      <c r="B8" s="4" t="str">
        <f aca="false">IFERROR(VLOOKUP($A8,Datos!$B:$C,2,FALSE()),"Sin clasificar")</f>
        <v>Europe</v>
      </c>
      <c r="C8" s="9" t="n">
        <f aca="false">SUMIF(Datos!$B:$B,$A8,Datos!$D:$D)</f>
        <v>7505896</v>
      </c>
      <c r="D8" s="10" t="n">
        <f aca="false">IFERROR(AVERAGEIF(Datos!$B:$B,$A8,Datos!$F:$F),"")</f>
        <v>8700</v>
      </c>
      <c r="E8" s="9" t="n">
        <f aca="false">IFERROR(SUMIFS(Datos!$G:$G,Datos!$B:$B,$A8,Datos!$A:$A,2024),"")</f>
        <v>1725671652742.19</v>
      </c>
    </row>
    <row r="9" customFormat="false" ht="15" hidden="false" customHeight="false" outlineLevel="0" collapsed="false">
      <c r="A9" s="2" t="s">
        <v>26</v>
      </c>
      <c r="B9" s="4" t="str">
        <f aca="false">IFERROR(VLOOKUP($A9,Datos!$B:$C,2,FALSE()),"Sin clasificar")</f>
        <v>South America</v>
      </c>
      <c r="C9" s="9" t="n">
        <f aca="false">SUMIF(Datos!$B:$B,$A9,Datos!$D:$D)</f>
        <v>4156202</v>
      </c>
      <c r="D9" s="10" t="n">
        <f aca="false">IFERROR(AVERAGEIF(Datos!$B:$B,$A9,Datos!$F:$F),"")</f>
        <v>2600</v>
      </c>
      <c r="E9" s="9" t="n">
        <f aca="false">IFERROR(SUMIFS(Datos!$G:$G,Datos!$B:$B,$A9,Datos!$A:$A,2024),"")</f>
        <v>330267137371.59</v>
      </c>
    </row>
    <row r="10" customFormat="false" ht="15" hidden="false" customHeight="false" outlineLevel="0" collapsed="false">
      <c r="A10" s="2" t="s">
        <v>19</v>
      </c>
      <c r="B10" s="4" t="str">
        <f aca="false">IFERROR(VLOOKUP($A10,Datos!$B:$C,2,FALSE()),"Sin clasificar")</f>
        <v>Europe</v>
      </c>
      <c r="C10" s="9" t="n">
        <f aca="false">SUMIF(Datos!$B:$B,$A10,Datos!$D:$D)</f>
        <v>3741061</v>
      </c>
      <c r="D10" s="10" t="n">
        <f aca="false">IFERROR(AVERAGEIF(Datos!$B:$B,$A10,Datos!$F:$F),"")</f>
        <v>10600</v>
      </c>
      <c r="E10" s="9" t="n">
        <f aca="false">IFERROR(SUMIFS(Datos!$G:$G,Datos!$B:$B,$A10,Datos!$A:$A,2024),"")</f>
        <v>75961865471.91</v>
      </c>
    </row>
    <row r="11" customFormat="false" ht="15" hidden="false" customHeight="false" outlineLevel="0" collapsed="false">
      <c r="A11" s="2" t="s">
        <v>12</v>
      </c>
      <c r="B11" s="4" t="str">
        <f aca="false">IFERROR(VLOOKUP($A11,Datos!$B:$C,2,FALSE()),"Sin clasificar")</f>
        <v>Oceania</v>
      </c>
      <c r="C11" s="9" t="n">
        <f aca="false">SUMIF(Datos!$B:$B,$A11,Datos!$D:$D)</f>
        <v>3374803</v>
      </c>
      <c r="D11" s="10" t="n">
        <f aca="false">IFERROR(AVERAGEIF(Datos!$B:$B,$A11,Datos!$F:$F),"")</f>
        <v>14000</v>
      </c>
      <c r="E11" s="9" t="n">
        <f aca="false">IFERROR(SUMIFS(Datos!$G:$G,Datos!$B:$B,$A11,Datos!$A:$A,2024),"")</f>
        <v>1757022451652.83</v>
      </c>
    </row>
    <row r="12" customFormat="false" ht="15" hidden="false" customHeight="false" outlineLevel="0" collapsed="false">
      <c r="A12" s="2" t="s">
        <v>59</v>
      </c>
      <c r="B12" s="4" t="str">
        <f aca="false">IFERROR(VLOOKUP($A12,Datos!$B:$C,2,FALSE()),"Sin clasificar")</f>
        <v>Europe</v>
      </c>
      <c r="C12" s="9" t="n">
        <f aca="false">SUMIF(Datos!$B:$B,$A12,Datos!$D:$D)</f>
        <v>2434084</v>
      </c>
      <c r="D12" s="10" t="n">
        <f aca="false">IFERROR(AVERAGEIF(Datos!$B:$B,$A12,Datos!$F:$F),"")</f>
        <v>10100</v>
      </c>
      <c r="E12" s="9" t="n">
        <f aca="false">IFERROR(SUMIFS(Datos!$G:$G,Datos!$B:$B,$A12,Datos!$A:$A,2024),"")</f>
        <v>2380825077243.59</v>
      </c>
    </row>
    <row r="13" customFormat="false" ht="15" hidden="false" customHeight="false" outlineLevel="0" collapsed="false">
      <c r="A13" s="2" t="s">
        <v>37</v>
      </c>
      <c r="B13" s="4" t="str">
        <f aca="false">IFERROR(VLOOKUP($A13,Datos!$B:$C,2,FALSE()),"Sin clasificar")</f>
        <v>North America</v>
      </c>
      <c r="C13" s="9" t="n">
        <f aca="false">SUMIF(Datos!$B:$B,$A13,Datos!$D:$D)</f>
        <v>1769895</v>
      </c>
      <c r="D13" s="10" t="n">
        <f aca="false">IFERROR(AVERAGEIF(Datos!$B:$B,$A13,Datos!$F:$F),"")</f>
        <v>2200</v>
      </c>
      <c r="E13" s="9" t="n">
        <f aca="false">IFERROR(SUMIFS(Datos!$G:$G,Datos!$B:$B,$A13,Datos!$A:$A,2024),"")</f>
        <v>124282245638.57</v>
      </c>
    </row>
    <row r="14" customFormat="false" ht="15" hidden="false" customHeight="false" outlineLevel="0" collapsed="false">
      <c r="A14" s="2" t="s">
        <v>25</v>
      </c>
      <c r="B14" s="4" t="str">
        <f aca="false">IFERROR(VLOOKUP($A14,Datos!$B:$C,2,FALSE()),"Sin clasificar")</f>
        <v>North America</v>
      </c>
      <c r="C14" s="9" t="n">
        <f aca="false">SUMIF(Datos!$B:$B,$A14,Datos!$D:$D)</f>
        <v>1612706</v>
      </c>
      <c r="D14" s="10" t="n">
        <f aca="false">IFERROR(AVERAGEIF(Datos!$B:$B,$A14,Datos!$F:$F),"")</f>
        <v>5900</v>
      </c>
      <c r="E14" s="9" t="n">
        <f aca="false">IFERROR(SUMIFS(Datos!$G:$G,Datos!$B:$B,$A14,Datos!$A:$A,2024),"")</f>
        <v>2243636826633.76</v>
      </c>
    </row>
    <row r="15" customFormat="false" ht="15" hidden="false" customHeight="false" outlineLevel="0" collapsed="false">
      <c r="A15" s="2" t="s">
        <v>65</v>
      </c>
      <c r="B15" s="4" t="str">
        <f aca="false">IFERROR(VLOOKUP($A15,Datos!$B:$C,2,FALSE()),"Sin clasificar")</f>
        <v>Asia</v>
      </c>
      <c r="C15" s="9" t="n">
        <f aca="false">SUMIF(Datos!$B:$B,$A15,Datos!$D:$D)</f>
        <v>1531690</v>
      </c>
      <c r="D15" s="10" t="n">
        <f aca="false">IFERROR(AVERAGEIF(Datos!$B:$B,$A15,Datos!$F:$F),"")</f>
        <v>14300</v>
      </c>
      <c r="E15" s="9" t="n">
        <f aca="false">IFERROR(SUMIFS(Datos!$G:$G,Datos!$B:$B,$A15,Datos!$A:$A,2024),"")</f>
        <v>0</v>
      </c>
    </row>
    <row r="16" customFormat="false" ht="15" hidden="false" customHeight="false" outlineLevel="0" collapsed="false">
      <c r="A16" s="2" t="s">
        <v>118</v>
      </c>
      <c r="B16" s="4" t="str">
        <f aca="false">IFERROR(VLOOKUP($A16,Datos!$B:$C,2,FALSE()),"Sin clasificar")</f>
        <v>South America</v>
      </c>
      <c r="C16" s="9" t="n">
        <f aca="false">SUMIF(Datos!$B:$B,$A16,Datos!$D:$D)</f>
        <v>1420799</v>
      </c>
      <c r="D16" s="10" t="n">
        <f aca="false">IFERROR(AVERAGEIF(Datos!$B:$B,$A16,Datos!$F:$F),"")</f>
        <v>4650</v>
      </c>
      <c r="E16" s="9" t="n">
        <f aca="false">IFERROR(SUMIFS(Datos!$G:$G,Datos!$B:$B,$A16,Datos!$A:$A,2024),"")</f>
        <v>80961511073.58</v>
      </c>
    </row>
    <row r="17" customFormat="false" ht="15" hidden="false" customHeight="false" outlineLevel="0" collapsed="false">
      <c r="A17" s="2" t="s">
        <v>88</v>
      </c>
      <c r="B17" s="4" t="str">
        <f aca="false">IFERROR(VLOOKUP($A17,Datos!$B:$C,2,FALSE()),"Sin clasificar")</f>
        <v>South America</v>
      </c>
      <c r="C17" s="9" t="n">
        <f aca="false">SUMIF(Datos!$B:$B,$A17,Datos!$D:$D)</f>
        <v>1288143</v>
      </c>
      <c r="D17" s="10" t="n">
        <f aca="false">IFERROR(AVERAGEIF(Datos!$B:$B,$A17,Datos!$F:$F),"")</f>
        <v>1320</v>
      </c>
      <c r="E17" s="9" t="n">
        <f aca="false">IFERROR(SUMIFS(Datos!$G:$G,Datos!$B:$B,$A17,Datos!$A:$A,2024),"")</f>
        <v>289221969062.94</v>
      </c>
    </row>
    <row r="18" customFormat="false" ht="15" hidden="false" customHeight="false" outlineLevel="0" collapsed="false">
      <c r="A18" s="2" t="s">
        <v>90</v>
      </c>
      <c r="B18" s="4" t="str">
        <f aca="false">IFERROR(VLOOKUP($A18,Datos!$B:$C,2,FALSE()),"Sin clasificar")</f>
        <v>Europe</v>
      </c>
      <c r="C18" s="9" t="n">
        <f aca="false">SUMIF(Datos!$B:$B,$A18,Datos!$D:$D)</f>
        <v>1241245</v>
      </c>
      <c r="D18" s="10" t="n">
        <f aca="false">IFERROR(AVERAGEIF(Datos!$B:$B,$A18,Datos!$F:$F),"")</f>
        <v>10300</v>
      </c>
      <c r="E18" s="9" t="n">
        <f aca="false">IFERROR(SUMIFS(Datos!$G:$G,Datos!$B:$B,$A18,Datos!$A:$A,2024),"")</f>
        <v>917767106146.76</v>
      </c>
    </row>
    <row r="19" customFormat="false" ht="15" hidden="false" customHeight="false" outlineLevel="0" collapsed="false">
      <c r="A19" s="2" t="s">
        <v>29</v>
      </c>
      <c r="B19" s="4" t="str">
        <f aca="false">IFERROR(VLOOKUP($A19,Datos!$B:$C,2,FALSE()),"Sin clasificar")</f>
        <v>South America</v>
      </c>
      <c r="C19" s="9" t="n">
        <f aca="false">SUMIF(Datos!$B:$B,$A19,Datos!$D:$D)</f>
        <v>1100999</v>
      </c>
      <c r="D19" s="10" t="n">
        <f aca="false">IFERROR(AVERAGEIF(Datos!$B:$B,$A19,Datos!$F:$F),"")</f>
        <v>720</v>
      </c>
      <c r="E19" s="9" t="n">
        <f aca="false">IFERROR(SUMIFS(Datos!$G:$G,Datos!$B:$B,$A19,Datos!$A:$A,2024),"")</f>
        <v>418818154879.27</v>
      </c>
    </row>
    <row r="20" customFormat="false" ht="15" hidden="false" customHeight="false" outlineLevel="0" collapsed="false">
      <c r="A20" s="2" t="s">
        <v>4</v>
      </c>
      <c r="B20" s="4" t="str">
        <f aca="false">IFERROR(VLOOKUP($A20,Datos!$B:$C,2,FALSE()),"Sin clasificar")</f>
        <v>Sin clasificar</v>
      </c>
      <c r="C20" s="9" t="n">
        <f aca="false">SUMIF(Datos!$B:$B,$A20,Datos!$D:$D)</f>
        <v>1008545</v>
      </c>
      <c r="D20" s="10" t="n">
        <f aca="false">IFERROR(AVERAGEIF(Datos!$B:$B,$A20,Datos!$F:$F),"")</f>
        <v>0</v>
      </c>
      <c r="E20" s="9" t="n">
        <f aca="false">IFERROR(SUMIFS(Datos!$G:$G,Datos!$B:$B,$A20,Datos!$A:$A,2024),"")</f>
        <v>0</v>
      </c>
    </row>
    <row r="21" customFormat="false" ht="15" hidden="false" customHeight="false" outlineLevel="0" collapsed="false">
      <c r="A21" s="2" t="s">
        <v>113</v>
      </c>
      <c r="B21" s="4" t="str">
        <f aca="false">IFERROR(VLOOKUP($A21,Datos!$B:$C,2,FALSE()),"Sin clasificar")</f>
        <v>Europe</v>
      </c>
      <c r="C21" s="9" t="n">
        <f aca="false">SUMIF(Datos!$B:$B,$A21,Datos!$D:$D)</f>
        <v>896286</v>
      </c>
      <c r="D21" s="10" t="n">
        <f aca="false">IFERROR(AVERAGEIF(Datos!$B:$B,$A21,Datos!$F:$F),"")</f>
        <v>11600</v>
      </c>
      <c r="E21" s="9" t="n">
        <f aca="false">IFERROR(SUMIFS(Datos!$G:$G,Datos!$B:$B,$A21,Datos!$A:$A,2024),"")</f>
        <v>1359123768774.12</v>
      </c>
    </row>
    <row r="22" customFormat="false" ht="15" hidden="false" customHeight="false" outlineLevel="0" collapsed="false">
      <c r="A22" s="2" t="s">
        <v>45</v>
      </c>
      <c r="B22" s="4" t="str">
        <f aca="false">IFERROR(VLOOKUP($A22,Datos!$B:$C,2,FALSE()),"Sin clasificar")</f>
        <v>Europe</v>
      </c>
      <c r="C22" s="9" t="n">
        <f aca="false">SUMIF(Datos!$B:$B,$A22,Datos!$D:$D)</f>
        <v>868088</v>
      </c>
      <c r="D22" s="10" t="n">
        <f aca="false">IFERROR(AVERAGEIF(Datos!$B:$B,$A22,Datos!$F:$F),"")</f>
        <v>9650</v>
      </c>
      <c r="E22" s="9" t="n">
        <f aca="false">IFERROR(SUMIFS(Datos!$G:$G,Datos!$B:$B,$A22,Datos!$A:$A,2024),"")</f>
        <v>4685592577804.69</v>
      </c>
    </row>
    <row r="23" customFormat="false" ht="15" hidden="false" customHeight="false" outlineLevel="0" collapsed="false">
      <c r="A23" s="2" t="s">
        <v>6</v>
      </c>
      <c r="B23" s="4" t="str">
        <f aca="false">IFERROR(VLOOKUP($A23,Datos!$B:$C,2,FALSE()),"Sin clasificar")</f>
        <v>South America</v>
      </c>
      <c r="C23" s="9" t="n">
        <f aca="false">SUMIF(Datos!$B:$B,$A23,Datos!$D:$D)</f>
        <v>649138</v>
      </c>
      <c r="D23" s="10" t="n">
        <f aca="false">IFERROR(AVERAGEIF(Datos!$B:$B,$A23,Datos!$F:$F),"")</f>
        <v>4320</v>
      </c>
      <c r="E23" s="9" t="n">
        <f aca="false">IFERROR(SUMIFS(Datos!$G:$G,Datos!$B:$B,$A23,Datos!$A:$A,2024),"")</f>
        <v>0</v>
      </c>
    </row>
    <row r="24" customFormat="false" ht="15" hidden="false" customHeight="false" outlineLevel="0" collapsed="false">
      <c r="A24" s="2" t="s">
        <v>87</v>
      </c>
      <c r="B24" s="4" t="str">
        <f aca="false">IFERROR(VLOOKUP($A24,Datos!$B:$C,2,FALSE()),"Sin clasificar")</f>
        <v>South America</v>
      </c>
      <c r="C24" s="9" t="n">
        <f aca="false">SUMIF(Datos!$B:$B,$A24,Datos!$D:$D)</f>
        <v>640500</v>
      </c>
      <c r="D24" s="10" t="n">
        <f aca="false">IFERROR(AVERAGEIF(Datos!$B:$B,$A24,Datos!$F:$F),"")</f>
        <v>3600</v>
      </c>
      <c r="E24" s="9" t="n">
        <f aca="false">IFERROR(SUMIFS(Datos!$G:$G,Datos!$B:$B,$A24,Datos!$A:$A,2024),"")</f>
        <v>44458118397.44</v>
      </c>
    </row>
    <row r="25" customFormat="false" ht="15" hidden="false" customHeight="false" outlineLevel="0" collapsed="false">
      <c r="A25" s="2" t="s">
        <v>92</v>
      </c>
      <c r="B25" s="4" t="str">
        <f aca="false">IFERROR(VLOOKUP($A25,Datos!$B:$C,2,FALSE()),"Sin clasificar")</f>
        <v>Asia</v>
      </c>
      <c r="C25" s="9" t="n">
        <f aca="false">SUMIF(Datos!$B:$B,$A25,Datos!$D:$D)</f>
        <v>639073</v>
      </c>
      <c r="D25" s="10" t="n">
        <f aca="false">IFERROR(AVERAGEIF(Datos!$B:$B,$A25,Datos!$F:$F),"")</f>
        <v>14000</v>
      </c>
      <c r="E25" s="9" t="n">
        <f aca="false">IFERROR(SUMIFS(Datos!$G:$G,Datos!$B:$B,$A25,Datos!$A:$A,2024),"")</f>
        <v>219162637362.64</v>
      </c>
    </row>
    <row r="26" customFormat="false" ht="15" hidden="false" customHeight="false" outlineLevel="0" collapsed="false">
      <c r="A26" s="2" t="s">
        <v>66</v>
      </c>
      <c r="B26" s="4" t="str">
        <f aca="false">IFERROR(VLOOKUP($A26,Datos!$B:$C,2,FALSE()),"Sin clasificar")</f>
        <v>Europe</v>
      </c>
      <c r="C26" s="9" t="n">
        <f aca="false">SUMIF(Datos!$B:$B,$A26,Datos!$D:$D)</f>
        <v>610965</v>
      </c>
      <c r="D26" s="10" t="n">
        <f aca="false">IFERROR(AVERAGEIF(Datos!$B:$B,$A26,Datos!$F:$F),"")</f>
        <v>10400</v>
      </c>
      <c r="E26" s="9" t="n">
        <f aca="false">IFERROR(SUMIFS(Datos!$G:$G,Datos!$B:$B,$A26,Datos!$A:$A,2024),"")</f>
        <v>43684254432.36</v>
      </c>
    </row>
    <row r="27" customFormat="false" ht="15" hidden="false" customHeight="false" outlineLevel="0" collapsed="false">
      <c r="A27" s="2" t="s">
        <v>86</v>
      </c>
      <c r="B27" s="4" t="str">
        <f aca="false">IFERROR(VLOOKUP($A27,Datos!$B:$C,2,FALSE()),"Sin clasificar")</f>
        <v>North America</v>
      </c>
      <c r="C27" s="9" t="n">
        <f aca="false">SUMIF(Datos!$B:$B,$A27,Datos!$D:$D)</f>
        <v>598681</v>
      </c>
      <c r="D27" s="10" t="n">
        <f aca="false">IFERROR(AVERAGEIF(Datos!$B:$B,$A27,Datos!$F:$F),"")</f>
        <v>1020</v>
      </c>
      <c r="E27" s="9" t="n">
        <f aca="false">IFERROR(SUMIFS(Datos!$G:$G,Datos!$B:$B,$A27,Datos!$A:$A,2024),"")</f>
        <v>86523959131.75</v>
      </c>
    </row>
    <row r="28" customFormat="false" ht="15" hidden="false" customHeight="false" outlineLevel="0" collapsed="false">
      <c r="A28" s="2" t="s">
        <v>68</v>
      </c>
      <c r="B28" s="4" t="str">
        <f aca="false">IFERROR(VLOOKUP($A28,Datos!$B:$C,2,FALSE()),"Sin clasificar")</f>
        <v>Europe</v>
      </c>
      <c r="C28" s="9" t="n">
        <f aca="false">SUMIF(Datos!$B:$B,$A28,Datos!$D:$D)</f>
        <v>561607</v>
      </c>
      <c r="D28" s="10" t="n">
        <f aca="false">IFERROR(AVERAGEIF(Datos!$B:$B,$A28,Datos!$F:$F),"")</f>
        <v>10250</v>
      </c>
      <c r="E28" s="9" t="n">
        <f aca="false">IFERROR(SUMIFS(Datos!$G:$G,Datos!$B:$B,$A28,Datos!$A:$A,2024),"")</f>
        <v>84869215513.36</v>
      </c>
    </row>
    <row r="29" customFormat="false" ht="15" hidden="false" customHeight="false" outlineLevel="0" collapsed="false">
      <c r="A29" s="2" t="s">
        <v>80</v>
      </c>
      <c r="B29" s="4" t="str">
        <f aca="false">IFERROR(VLOOKUP($A29,Datos!$B:$C,2,FALSE()),"Sin clasificar")</f>
        <v>North America</v>
      </c>
      <c r="C29" s="9" t="n">
        <f aca="false">SUMIF(Datos!$B:$B,$A29,Datos!$D:$D)</f>
        <v>560258</v>
      </c>
      <c r="D29" s="10" t="n">
        <f aca="false">IFERROR(AVERAGEIF(Datos!$B:$B,$A29,Datos!$F:$F),"")</f>
        <v>1730</v>
      </c>
      <c r="E29" s="9" t="n">
        <f aca="false">IFERROR(SUMIFS(Datos!$G:$G,Datos!$B:$B,$A29,Datos!$A:$A,2024),"")</f>
        <v>19693982967.59</v>
      </c>
    </row>
    <row r="30" customFormat="false" ht="15" hidden="false" customHeight="false" outlineLevel="0" collapsed="false">
      <c r="A30" s="2" t="s">
        <v>95</v>
      </c>
      <c r="B30" s="4" t="str">
        <f aca="false">IFERROR(VLOOKUP($A30,Datos!$B:$C,2,FALSE()),"Sin clasificar")</f>
        <v>Europe</v>
      </c>
      <c r="C30" s="9" t="n">
        <f aca="false">SUMIF(Datos!$B:$B,$A30,Datos!$D:$D)</f>
        <v>423079</v>
      </c>
      <c r="D30" s="10" t="n">
        <f aca="false">IFERROR(AVERAGEIF(Datos!$B:$B,$A30,Datos!$F:$F),"")</f>
        <v>11300</v>
      </c>
      <c r="E30" s="9" t="n">
        <f aca="false">IFERROR(SUMIFS(Datos!$G:$G,Datos!$B:$B,$A30,Datos!$A:$A,2024),"")</f>
        <v>382564217988.87</v>
      </c>
    </row>
    <row r="31" customFormat="false" ht="15" hidden="false" customHeight="false" outlineLevel="0" collapsed="false">
      <c r="A31" s="2" t="s">
        <v>32</v>
      </c>
      <c r="B31" s="4" t="str">
        <f aca="false">IFERROR(VLOOKUP($A31,Datos!$B:$C,2,FALSE()),"Sin clasificar")</f>
        <v>North America</v>
      </c>
      <c r="C31" s="9" t="n">
        <f aca="false">SUMIF(Datos!$B:$B,$A31,Datos!$D:$D)</f>
        <v>411124</v>
      </c>
      <c r="D31" s="10" t="n">
        <f aca="false">IFERROR(AVERAGEIF(Datos!$B:$B,$A31,Datos!$F:$F),"")</f>
        <v>2450</v>
      </c>
      <c r="E31" s="9" t="n">
        <f aca="false">IFERROR(SUMIFS(Datos!$G:$G,Datos!$B:$B,$A31,Datos!$A:$A,2024),"")</f>
        <v>0</v>
      </c>
    </row>
    <row r="32" customFormat="false" ht="15" hidden="false" customHeight="false" outlineLevel="0" collapsed="false">
      <c r="A32" s="2" t="s">
        <v>94</v>
      </c>
      <c r="B32" s="4" t="str">
        <f aca="false">IFERROR(VLOOKUP($A32,Datos!$B:$C,2,FALSE()),"Sin clasificar")</f>
        <v>Europe</v>
      </c>
      <c r="C32" s="9" t="n">
        <f aca="false">SUMIF(Datos!$B:$B,$A32,Datos!$D:$D)</f>
        <v>386901</v>
      </c>
      <c r="D32" s="10" t="n">
        <f aca="false">IFERROR(AVERAGEIF(Datos!$B:$B,$A32,Datos!$F:$F),"")</f>
        <v>11000</v>
      </c>
      <c r="E32" s="9" t="n">
        <f aca="false">IFERROR(SUMIFS(Datos!$G:$G,Datos!$B:$B,$A32,Datos!$A:$A,2024),"")</f>
        <v>18200340853.65</v>
      </c>
    </row>
    <row r="33" customFormat="false" ht="15" hidden="false" customHeight="false" outlineLevel="0" collapsed="false">
      <c r="A33" s="2" t="s">
        <v>35</v>
      </c>
      <c r="B33" s="4" t="str">
        <f aca="false">IFERROR(VLOOKUP($A33,Datos!$B:$C,2,FALSE()),"Sin clasificar")</f>
        <v>Europe</v>
      </c>
      <c r="C33" s="9" t="n">
        <f aca="false">SUMIF(Datos!$B:$B,$A33,Datos!$D:$D)</f>
        <v>368029</v>
      </c>
      <c r="D33" s="10" t="n">
        <f aca="false">IFERROR(AVERAGEIF(Datos!$B:$B,$A33,Datos!$F:$F),"")</f>
        <v>10100</v>
      </c>
      <c r="E33" s="9" t="n">
        <f aca="false">IFERROR(SUMIFS(Datos!$G:$G,Datos!$B:$B,$A33,Datos!$A:$A,2024),"")</f>
        <v>347034062928.48</v>
      </c>
    </row>
    <row r="34" customFormat="false" ht="15" hidden="false" customHeight="false" outlineLevel="0" collapsed="false">
      <c r="A34" s="2" t="s">
        <v>116</v>
      </c>
      <c r="B34" s="4" t="str">
        <f aca="false">IFERROR(VLOOKUP($A34,Datos!$B:$C,2,FALSE()),"Sin clasificar")</f>
        <v>Asia</v>
      </c>
      <c r="C34" s="9" t="n">
        <f aca="false">SUMIF(Datos!$B:$B,$A34,Datos!$D:$D)</f>
        <v>361792</v>
      </c>
      <c r="D34" s="10" t="n">
        <f aca="false">IFERROR(AVERAGEIF(Datos!$B:$B,$A34,Datos!$F:$F),"")</f>
        <v>14200</v>
      </c>
      <c r="E34" s="9" t="n">
        <f aca="false">IFERROR(SUMIFS(Datos!$G:$G,Datos!$B:$B,$A34,Datos!$A:$A,2024),"")</f>
        <v>552324846834.58</v>
      </c>
    </row>
    <row r="35" customFormat="false" ht="15" hidden="false" customHeight="false" outlineLevel="0" collapsed="false">
      <c r="A35" s="2" t="s">
        <v>64</v>
      </c>
      <c r="B35" s="4" t="str">
        <f aca="false">IFERROR(VLOOKUP($A35,Datos!$B:$C,2,FALSE()),"Sin clasificar")</f>
        <v>Asia</v>
      </c>
      <c r="C35" s="9" t="n">
        <f aca="false">SUMIF(Datos!$B:$B,$A35,Datos!$D:$D)</f>
        <v>301582</v>
      </c>
      <c r="D35" s="10" t="n">
        <f aca="false">IFERROR(AVERAGEIF(Datos!$B:$B,$A35,Datos!$F:$F),"")</f>
        <v>13500</v>
      </c>
      <c r="E35" s="9" t="n">
        <f aca="false">IFERROR(SUMIFS(Datos!$G:$G,Datos!$B:$B,$A35,Datos!$A:$A,2024),"")</f>
        <v>160227273053.33</v>
      </c>
    </row>
    <row r="36" customFormat="false" ht="15" hidden="false" customHeight="false" outlineLevel="0" collapsed="false">
      <c r="A36" s="2" t="s">
        <v>109</v>
      </c>
      <c r="B36" s="4" t="str">
        <f aca="false">IFERROR(VLOOKUP($A36,Datos!$B:$C,2,FALSE()),"Sin clasificar")</f>
        <v>Asia</v>
      </c>
      <c r="C36" s="9" t="n">
        <f aca="false">SUMIF(Datos!$B:$B,$A36,Datos!$D:$D)</f>
        <v>266070</v>
      </c>
      <c r="D36" s="10" t="n">
        <f aca="false">IFERROR(AVERAGEIF(Datos!$B:$B,$A36,Datos!$F:$F),"")</f>
        <v>14300</v>
      </c>
      <c r="E36" s="9" t="n">
        <f aca="false">IFERROR(SUMIFS(Datos!$G:$G,Datos!$B:$B,$A36,Datos!$A:$A,2024),"")</f>
        <v>14204575548.55</v>
      </c>
    </row>
    <row r="37" customFormat="false" ht="15" hidden="false" customHeight="false" outlineLevel="0" collapsed="false">
      <c r="A37" s="2" t="s">
        <v>75</v>
      </c>
      <c r="B37" s="4" t="str">
        <f aca="false">IFERROR(VLOOKUP($A37,Datos!$B:$C,2,FALSE()),"Sin clasificar")</f>
        <v>Europe</v>
      </c>
      <c r="C37" s="9" t="n">
        <f aca="false">SUMIF(Datos!$B:$B,$A37,Datos!$D:$D)</f>
        <v>240192</v>
      </c>
      <c r="D37" s="10" t="n">
        <f aca="false">IFERROR(AVERAGEIF(Datos!$B:$B,$A37,Datos!$F:$F),"")</f>
        <v>10700</v>
      </c>
      <c r="E37" s="9" t="n">
        <f aca="false">IFERROR(SUMIFS(Datos!$G:$G,Datos!$B:$B,$A37,Datos!$A:$A,2024),"")</f>
        <v>8270016670.87</v>
      </c>
    </row>
    <row r="38" customFormat="false" ht="15" hidden="false" customHeight="false" outlineLevel="0" collapsed="false">
      <c r="A38" s="2" t="s">
        <v>42</v>
      </c>
      <c r="B38" s="4" t="str">
        <f aca="false">IFERROR(VLOOKUP($A38,Datos!$B:$C,2,FALSE()),"Sin clasificar")</f>
        <v>Europe</v>
      </c>
      <c r="C38" s="9" t="n">
        <f aca="false">SUMIF(Datos!$B:$B,$A38,Datos!$D:$D)</f>
        <v>238147</v>
      </c>
      <c r="D38" s="10" t="n">
        <f aca="false">IFERROR(AVERAGEIF(Datos!$B:$B,$A38,Datos!$F:$F),"")</f>
        <v>9150</v>
      </c>
      <c r="E38" s="9" t="n">
        <f aca="false">IFERROR(SUMIFS(Datos!$G:$G,Datos!$B:$B,$A38,Datos!$A:$A,2024),"")</f>
        <v>3160442622465.08</v>
      </c>
    </row>
    <row r="39" customFormat="false" ht="15" hidden="false" customHeight="false" outlineLevel="0" collapsed="false">
      <c r="A39" s="2" t="s">
        <v>52</v>
      </c>
      <c r="B39" s="4" t="str">
        <f aca="false">IFERROR(VLOOKUP($A39,Datos!$B:$C,2,FALSE()),"Sin clasificar")</f>
        <v>Europe</v>
      </c>
      <c r="C39" s="9" t="n">
        <f aca="false">SUMIF(Datos!$B:$B,$A39,Datos!$D:$D)</f>
        <v>231996</v>
      </c>
      <c r="D39" s="10" t="n">
        <f aca="false">IFERROR(AVERAGEIF(Datos!$B:$B,$A39,Datos!$F:$F),"")</f>
        <v>10350</v>
      </c>
      <c r="E39" s="9" t="n">
        <f aca="false">IFERROR(SUMIFS(Datos!$G:$G,Datos!$B:$B,$A39,Datos!$A:$A,2024),"")</f>
        <v>222722738925.64</v>
      </c>
    </row>
    <row r="40" customFormat="false" ht="15" hidden="false" customHeight="false" outlineLevel="0" collapsed="false">
      <c r="A40" s="2" t="s">
        <v>111</v>
      </c>
      <c r="B40" s="4" t="str">
        <f aca="false">IFERROR(VLOOKUP($A40,Datos!$B:$C,2,FALSE()),"Sin clasificar")</f>
        <v>North America</v>
      </c>
      <c r="C40" s="9" t="n">
        <f aca="false">SUMIF(Datos!$B:$B,$A40,Datos!$D:$D)</f>
        <v>207029</v>
      </c>
      <c r="D40" s="10" t="n">
        <f aca="false">IFERROR(AVERAGEIF(Datos!$B:$B,$A40,Datos!$F:$F),"")</f>
        <v>2530</v>
      </c>
      <c r="E40" s="9" t="n">
        <f aca="false">IFERROR(SUMIFS(Datos!$G:$G,Datos!$B:$B,$A40,Datos!$A:$A,2024),"")</f>
        <v>25633544529.48</v>
      </c>
    </row>
    <row r="41" customFormat="false" ht="15" hidden="false" customHeight="false" outlineLevel="0" collapsed="false">
      <c r="A41" s="2" t="s">
        <v>16</v>
      </c>
      <c r="B41" s="4" t="str">
        <f aca="false">IFERROR(VLOOKUP($A41,Datos!$B:$C,2,FALSE()),"Sin clasificar")</f>
        <v>Asia</v>
      </c>
      <c r="C41" s="9" t="n">
        <f aca="false">SUMIF(Datos!$B:$B,$A41,Datos!$D:$D)</f>
        <v>180788</v>
      </c>
      <c r="D41" s="10" t="n">
        <f aca="false">IFERROR(AVERAGEIF(Datos!$B:$B,$A41,Datos!$F:$F),"")</f>
        <v>13100</v>
      </c>
      <c r="E41" s="9" t="n">
        <f aca="false">IFERROR(SUMIFS(Datos!$G:$G,Datos!$B:$B,$A41,Datos!$A:$A,2024),"")</f>
        <v>74315882352.94</v>
      </c>
    </row>
    <row r="42" customFormat="false" ht="15" hidden="false" customHeight="false" outlineLevel="0" collapsed="false">
      <c r="A42" s="2" t="s">
        <v>39</v>
      </c>
      <c r="B42" s="4" t="str">
        <f aca="false">IFERROR(VLOOKUP($A42,Datos!$B:$C,2,FALSE()),"Sin clasificar")</f>
        <v>North America</v>
      </c>
      <c r="C42" s="9" t="n">
        <f aca="false">SUMIF(Datos!$B:$B,$A42,Datos!$D:$D)</f>
        <v>177332</v>
      </c>
      <c r="D42" s="10" t="n">
        <f aca="false">IFERROR(AVERAGEIF(Datos!$B:$B,$A42,Datos!$F:$F),"")</f>
        <v>2000</v>
      </c>
      <c r="E42" s="9" t="n">
        <f aca="false">IFERROR(SUMIFS(Datos!$G:$G,Datos!$B:$B,$A42,Datos!$A:$A,2024),"")</f>
        <v>35364960000</v>
      </c>
    </row>
    <row r="43" customFormat="false" ht="15" hidden="false" customHeight="false" outlineLevel="0" collapsed="false">
      <c r="A43" s="2" t="s">
        <v>91</v>
      </c>
      <c r="B43" s="4" t="str">
        <f aca="false">IFERROR(VLOOKUP($A43,Datos!$B:$C,2,FALSE()),"Sin clasificar")</f>
        <v>Europe</v>
      </c>
      <c r="C43" s="9" t="n">
        <f aca="false">SUMIF(Datos!$B:$B,$A43,Datos!$D:$D)</f>
        <v>167127</v>
      </c>
      <c r="D43" s="10" t="n">
        <f aca="false">IFERROR(AVERAGEIF(Datos!$B:$B,$A43,Datos!$F:$F),"")</f>
        <v>8700</v>
      </c>
      <c r="E43" s="9" t="n">
        <f aca="false">IFERROR(SUMIFS(Datos!$G:$G,Datos!$B:$B,$A43,Datos!$A:$A,2024),"")</f>
        <v>313271185085.1</v>
      </c>
    </row>
    <row r="44" customFormat="false" ht="15" hidden="false" customHeight="false" outlineLevel="0" collapsed="false">
      <c r="A44" s="2" t="s">
        <v>78</v>
      </c>
      <c r="B44" s="4" t="str">
        <f aca="false">IFERROR(VLOOKUP($A44,Datos!$B:$C,2,FALSE()),"Sin clasificar")</f>
        <v>North America</v>
      </c>
      <c r="C44" s="9" t="n">
        <f aca="false">SUMIF(Datos!$B:$B,$A44,Datos!$D:$D)</f>
        <v>162704</v>
      </c>
      <c r="D44" s="10" t="n">
        <f aca="false">IFERROR(AVERAGEIF(Datos!$B:$B,$A44,Datos!$F:$F),"")</f>
        <v>2250</v>
      </c>
      <c r="E44" s="9" t="n">
        <f aca="false">IFERROR(SUMIFS(Datos!$G:$G,Datos!$B:$B,$A44,Datos!$A:$A,2024),"")</f>
        <v>0</v>
      </c>
    </row>
    <row r="45" customFormat="false" ht="15" hidden="false" customHeight="false" outlineLevel="0" collapsed="false">
      <c r="A45" s="2" t="s">
        <v>89</v>
      </c>
      <c r="B45" s="4" t="str">
        <f aca="false">IFERROR(VLOOKUP($A45,Datos!$B:$C,2,FALSE()),"Sin clasificar")</f>
        <v>Asia</v>
      </c>
      <c r="C45" s="9" t="n">
        <f aca="false">SUMIF(Datos!$B:$B,$A45,Datos!$D:$D)</f>
        <v>158438</v>
      </c>
      <c r="D45" s="10" t="n">
        <f aca="false">IFERROR(AVERAGEIF(Datos!$B:$B,$A45,Datos!$F:$F),"")</f>
        <v>17800</v>
      </c>
      <c r="E45" s="9" t="n">
        <f aca="false">IFERROR(SUMIFS(Datos!$G:$G,Datos!$B:$B,$A45,Datos!$A:$A,2024),"")</f>
        <v>461617509782.36</v>
      </c>
    </row>
    <row r="46" customFormat="false" ht="15" hidden="false" customHeight="false" outlineLevel="0" collapsed="false">
      <c r="A46" s="2" t="s">
        <v>44</v>
      </c>
      <c r="B46" s="4" t="str">
        <f aca="false">IFERROR(VLOOKUP($A46,Datos!$B:$C,2,FALSE()),"Sin clasificar")</f>
        <v>Asia</v>
      </c>
      <c r="C46" s="9" t="n">
        <f aca="false">SUMIF(Datos!$B:$B,$A46,Datos!$D:$D)</f>
        <v>128547</v>
      </c>
      <c r="D46" s="10" t="n">
        <f aca="false">IFERROR(AVERAGEIF(Datos!$B:$B,$A46,Datos!$F:$F),"")</f>
        <v>11600</v>
      </c>
      <c r="E46" s="9" t="n">
        <f aca="false">IFERROR(SUMIFS(Datos!$G:$G,Datos!$B:$B,$A46,Datos!$A:$A,2024),"")</f>
        <v>34189423545</v>
      </c>
    </row>
    <row r="47" customFormat="false" ht="15" hidden="false" customHeight="false" outlineLevel="0" collapsed="false">
      <c r="A47" s="2" t="s">
        <v>100</v>
      </c>
      <c r="B47" s="4" t="str">
        <f aca="false">IFERROR(VLOOKUP($A47,Datos!$B:$C,2,FALSE()),"Sin clasificar")</f>
        <v>Asia</v>
      </c>
      <c r="C47" s="9" t="n">
        <f aca="false">SUMIF(Datos!$B:$B,$A47,Datos!$D:$D)</f>
        <v>127614</v>
      </c>
      <c r="D47" s="10" t="n">
        <f aca="false">IFERROR(AVERAGEIF(Datos!$B:$B,$A47,Datos!$F:$F),"")</f>
        <v>13800</v>
      </c>
      <c r="E47" s="9" t="n">
        <f aca="false">IFERROR(SUMIFS(Datos!$G:$G,Datos!$B:$B,$A47,Datos!$A:$A,2024),"")</f>
        <v>1239804533333.33</v>
      </c>
    </row>
    <row r="48" customFormat="false" ht="15" hidden="false" customHeight="false" outlineLevel="0" collapsed="false">
      <c r="A48" s="2" t="s">
        <v>117</v>
      </c>
      <c r="B48" s="4" t="str">
        <f aca="false">IFERROR(VLOOKUP($A48,Datos!$B:$C,2,FALSE()),"Sin clasificar")</f>
        <v>Europe</v>
      </c>
      <c r="C48" s="9" t="n">
        <f aca="false">SUMIF(Datos!$B:$B,$A48,Datos!$D:$D)</f>
        <v>120773</v>
      </c>
      <c r="D48" s="10" t="n">
        <f aca="false">IFERROR(AVERAGEIF(Datos!$B:$B,$A48,Datos!$F:$F),"")</f>
        <v>9200</v>
      </c>
      <c r="E48" s="9" t="n">
        <f aca="false">IFERROR(SUMIFS(Datos!$G:$G,Datos!$B:$B,$A48,Datos!$A:$A,2024),"")</f>
        <v>3686033044482.13</v>
      </c>
    </row>
    <row r="49" customFormat="false" ht="15" hidden="false" customHeight="false" outlineLevel="0" collapsed="false">
      <c r="A49" s="2" t="s">
        <v>108</v>
      </c>
      <c r="B49" s="4" t="str">
        <f aca="false">IFERROR(VLOOKUP($A49,Datos!$B:$C,2,FALSE()),"Sin clasificar")</f>
        <v>Europe</v>
      </c>
      <c r="C49" s="9" t="n">
        <f aca="false">SUMIF(Datos!$B:$B,$A49,Datos!$D:$D)</f>
        <v>113256</v>
      </c>
      <c r="D49" s="10" t="n">
        <f aca="false">IFERROR(AVERAGEIF(Datos!$B:$B,$A49,Datos!$F:$F),"")</f>
        <v>9800</v>
      </c>
      <c r="E49" s="9" t="n">
        <f aca="false">IFERROR(SUMIFS(Datos!$G:$G,Datos!$B:$B,$A49,Datos!$A:$A,2024),"")</f>
        <v>936564198048.52</v>
      </c>
    </row>
    <row r="50" customFormat="false" ht="15" hidden="false" customHeight="false" outlineLevel="0" collapsed="false">
      <c r="A50" s="2" t="s">
        <v>60</v>
      </c>
      <c r="B50" s="4" t="str">
        <f aca="false">IFERROR(VLOOKUP($A50,Datos!$B:$C,2,FALSE()),"Sin clasificar")</f>
        <v>North America</v>
      </c>
      <c r="C50" s="9" t="n">
        <f aca="false">SUMIF(Datos!$B:$B,$A50,Datos!$D:$D)</f>
        <v>109984</v>
      </c>
      <c r="D50" s="10" t="n">
        <f aca="false">IFERROR(AVERAGEIF(Datos!$B:$B,$A50,Datos!$F:$F),"")</f>
        <v>1900</v>
      </c>
      <c r="E50" s="9" t="n">
        <f aca="false">IFERROR(SUMIFS(Datos!$G:$G,Datos!$B:$B,$A50,Datos!$A:$A,2024),"")</f>
        <v>22014397089.77</v>
      </c>
    </row>
    <row r="51" customFormat="false" ht="15" hidden="false" customHeight="false" outlineLevel="0" collapsed="false">
      <c r="A51" s="2" t="s">
        <v>103</v>
      </c>
      <c r="B51" s="4" t="str">
        <f aca="false">IFERROR(VLOOKUP($A51,Datos!$B:$C,2,FALSE()),"Sin clasificar")</f>
        <v>Europe</v>
      </c>
      <c r="C51" s="9" t="n">
        <f aca="false">SUMIF(Datos!$B:$B,$A51,Datos!$D:$D)</f>
        <v>109650</v>
      </c>
      <c r="D51" s="10" t="n">
        <f aca="false">IFERROR(AVERAGEIF(Datos!$B:$B,$A51,Datos!$F:$F),"")</f>
        <v>10500</v>
      </c>
      <c r="E51" s="9" t="n">
        <f aca="false">IFERROR(SUMIFS(Datos!$G:$G,Datos!$B:$B,$A51,Datos!$A:$A,2024),"")</f>
        <v>0</v>
      </c>
    </row>
    <row r="52" customFormat="false" ht="15" hidden="false" customHeight="false" outlineLevel="0" collapsed="false">
      <c r="A52" s="2" t="s">
        <v>72</v>
      </c>
      <c r="B52" s="4" t="str">
        <f aca="false">IFERROR(VLOOKUP($A52,Datos!$B:$C,2,FALSE()),"Sin clasificar")</f>
        <v>Europe</v>
      </c>
      <c r="C52" s="9" t="n">
        <f aca="false">SUMIF(Datos!$B:$B,$A52,Datos!$D:$D)</f>
        <v>108329</v>
      </c>
      <c r="D52" s="10" t="n">
        <f aca="false">IFERROR(AVERAGEIF(Datos!$B:$B,$A52,Datos!$F:$F),"")</f>
        <v>10200</v>
      </c>
      <c r="E52" s="9" t="n">
        <f aca="false">IFERROR(SUMIFS(Datos!$G:$G,Datos!$B:$B,$A52,Datos!$A:$A,2024),"")</f>
        <v>0</v>
      </c>
    </row>
    <row r="53" customFormat="false" ht="15" hidden="false" customHeight="false" outlineLevel="0" collapsed="false">
      <c r="A53" s="2" t="s">
        <v>54</v>
      </c>
      <c r="B53" s="4" t="str">
        <f aca="false">IFERROR(VLOOKUP($A53,Datos!$B:$C,2,FALSE()),"Sin clasificar")</f>
        <v>Asia</v>
      </c>
      <c r="C53" s="9" t="n">
        <f aca="false">SUMIF(Datos!$B:$B,$A53,Datos!$D:$D)</f>
        <v>85408</v>
      </c>
      <c r="D53" s="10" t="n">
        <f aca="false">IFERROR(AVERAGEIF(Datos!$B:$B,$A53,Datos!$F:$F),"")</f>
        <v>19300</v>
      </c>
      <c r="E53" s="9" t="n">
        <f aca="false">IFERROR(SUMIFS(Datos!$G:$G,Datos!$B:$B,$A53,Datos!$A:$A,2024),"")</f>
        <v>1396300098190.97</v>
      </c>
    </row>
    <row r="54" customFormat="false" ht="15" hidden="false" customHeight="false" outlineLevel="0" collapsed="false">
      <c r="A54" s="2" t="s">
        <v>71</v>
      </c>
      <c r="B54" s="4" t="str">
        <f aca="false">IFERROR(VLOOKUP($A54,Datos!$B:$C,2,FALSE()),"Sin clasificar")</f>
        <v>Asia</v>
      </c>
      <c r="C54" s="9" t="n">
        <f aca="false">SUMIF(Datos!$B:$B,$A54,Datos!$D:$D)</f>
        <v>83661</v>
      </c>
      <c r="D54" s="10" t="n">
        <f aca="false">IFERROR(AVERAGEIF(Datos!$B:$B,$A54,Datos!$F:$F),"")</f>
        <v>17100</v>
      </c>
      <c r="E54" s="9" t="n">
        <f aca="false">IFERROR(SUMIFS(Datos!$G:$G,Datos!$B:$B,$A54,Datos!$A:$A,2024),"")</f>
        <v>7061608267.25</v>
      </c>
    </row>
    <row r="55" customFormat="false" ht="15" hidden="false" customHeight="false" outlineLevel="0" collapsed="false">
      <c r="A55" s="2" t="s">
        <v>31</v>
      </c>
      <c r="B55" s="4" t="str">
        <f aca="false">IFERROR(VLOOKUP($A55,Datos!$B:$C,2,FALSE()),"Sin clasificar")</f>
        <v>Europe</v>
      </c>
      <c r="C55" s="9" t="n">
        <f aca="false">SUMIF(Datos!$B:$B,$A55,Datos!$D:$D)</f>
        <v>71316</v>
      </c>
      <c r="D55" s="10" t="n">
        <f aca="false">IFERROR(AVERAGEIF(Datos!$B:$B,$A55,Datos!$F:$F),"")</f>
        <v>10400</v>
      </c>
      <c r="E55" s="9" t="n">
        <f aca="false">IFERROR(SUMIFS(Datos!$G:$G,Datos!$B:$B,$A55,Datos!$A:$A,2024),"")</f>
        <v>92983810328.91</v>
      </c>
    </row>
    <row r="56" customFormat="false" ht="15" hidden="false" customHeight="false" outlineLevel="0" collapsed="false">
      <c r="A56" s="2" t="s">
        <v>107</v>
      </c>
      <c r="B56" s="4" t="str">
        <f aca="false">IFERROR(VLOOKUP($A56,Datos!$B:$C,2,FALSE()),"Sin clasificar")</f>
        <v>Europe</v>
      </c>
      <c r="C56" s="9" t="n">
        <f aca="false">SUMIF(Datos!$B:$B,$A56,Datos!$D:$D)</f>
        <v>67489</v>
      </c>
      <c r="D56" s="10" t="n">
        <f aca="false">IFERROR(AVERAGEIF(Datos!$B:$B,$A56,Datos!$F:$F),"")</f>
        <v>10000</v>
      </c>
      <c r="E56" s="9" t="n">
        <f aca="false">IFERROR(SUMIFS(Datos!$G:$G,Datos!$B:$B,$A56,Datos!$A:$A,2024),"")</f>
        <v>0</v>
      </c>
    </row>
    <row r="57" customFormat="false" ht="15" hidden="false" customHeight="false" outlineLevel="0" collapsed="false">
      <c r="A57" s="2" t="s">
        <v>8</v>
      </c>
      <c r="B57" s="4" t="str">
        <f aca="false">IFERROR(VLOOKUP($A57,Datos!$B:$C,2,FALSE()),"Sin clasificar")</f>
        <v>Asia</v>
      </c>
      <c r="C57" s="9" t="n">
        <f aca="false">SUMIF(Datos!$B:$B,$A57,Datos!$D:$D)</f>
        <v>63657</v>
      </c>
      <c r="D57" s="10" t="n">
        <f aca="false">IFERROR(AVERAGEIF(Datos!$B:$B,$A57,Datos!$F:$F),"")</f>
        <v>11600</v>
      </c>
      <c r="E57" s="9" t="n">
        <f aca="false">IFERROR(SUMIFS(Datos!$G:$G,Datos!$B:$B,$A57,Datos!$A:$A,2024),"")</f>
        <v>25955275380.03</v>
      </c>
    </row>
    <row r="58" customFormat="false" ht="15" hidden="false" customHeight="false" outlineLevel="0" collapsed="false">
      <c r="A58" s="2" t="s">
        <v>40</v>
      </c>
      <c r="B58" s="4" t="str">
        <f aca="false">IFERROR(VLOOKUP($A58,Datos!$B:$C,2,FALSE()),"Sin clasificar")</f>
        <v>Europe</v>
      </c>
      <c r="C58" s="9" t="n">
        <f aca="false">SUMIF(Datos!$B:$B,$A58,Datos!$D:$D)</f>
        <v>54503</v>
      </c>
      <c r="D58" s="10" t="n">
        <f aca="false">IFERROR(AVERAGEIF(Datos!$B:$B,$A58,Datos!$F:$F),"")</f>
        <v>10400</v>
      </c>
      <c r="E58" s="9" t="n">
        <f aca="false">IFERROR(SUMIFS(Datos!$G:$G,Datos!$B:$B,$A58,Datos!$A:$A,2024),"")</f>
        <v>43130419829.35</v>
      </c>
    </row>
    <row r="59" customFormat="false" ht="15" hidden="false" customHeight="false" outlineLevel="0" collapsed="false">
      <c r="A59" s="2" t="s">
        <v>23</v>
      </c>
      <c r="B59" s="4" t="str">
        <f aca="false">IFERROR(VLOOKUP($A59,Datos!$B:$C,2,FALSE()),"Sin clasificar")</f>
        <v>South America</v>
      </c>
      <c r="C59" s="9" t="n">
        <f aca="false">SUMIF(Datos!$B:$B,$A59,Datos!$D:$D)</f>
        <v>51279</v>
      </c>
      <c r="D59" s="10" t="n">
        <f aca="false">IFERROR(AVERAGEIF(Datos!$B:$B,$A59,Datos!$F:$F),"")</f>
        <v>4330</v>
      </c>
      <c r="E59" s="9" t="n">
        <f aca="false">IFERROR(SUMIFS(Datos!$G:$G,Datos!$B:$B,$A59,Datos!$A:$A,2024),"")</f>
        <v>0</v>
      </c>
    </row>
    <row r="60" customFormat="false" ht="15" hidden="false" customHeight="false" outlineLevel="0" collapsed="false">
      <c r="A60" s="2" t="s">
        <v>119</v>
      </c>
      <c r="B60" s="4" t="str">
        <f aca="false">IFERROR(VLOOKUP($A60,Datos!$B:$C,2,FALSE()),"Sin clasificar")</f>
        <v>Asia</v>
      </c>
      <c r="C60" s="9" t="n">
        <f aca="false">SUMIF(Datos!$B:$B,$A60,Datos!$D:$D)</f>
        <v>46577</v>
      </c>
      <c r="D60" s="10" t="n">
        <f aca="false">IFERROR(AVERAGEIF(Datos!$B:$B,$A60,Datos!$F:$F),"")</f>
        <v>14400</v>
      </c>
      <c r="E60" s="9" t="n">
        <f aca="false">IFERROR(SUMIFS(Datos!$G:$G,Datos!$B:$B,$A60,Datos!$A:$A,2024),"")</f>
        <v>114965293466.61</v>
      </c>
    </row>
    <row r="61" customFormat="false" ht="15" hidden="false" customHeight="false" outlineLevel="0" collapsed="false">
      <c r="A61" s="2" t="s">
        <v>14</v>
      </c>
      <c r="B61" s="4" t="str">
        <f aca="false">IFERROR(VLOOKUP($A61,Datos!$B:$C,2,FALSE()),"Sin clasificar")</f>
        <v>Europe</v>
      </c>
      <c r="C61" s="9" t="n">
        <f aca="false">SUMIF(Datos!$B:$B,$A61,Datos!$D:$D)</f>
        <v>34262</v>
      </c>
      <c r="D61" s="10" t="n">
        <f aca="false">IFERROR(AVERAGEIF(Datos!$B:$B,$A61,Datos!$F:$F),"")</f>
        <v>10050</v>
      </c>
      <c r="E61" s="9" t="n">
        <f aca="false">IFERROR(SUMIFS(Datos!$G:$G,Datos!$B:$B,$A61,Datos!$A:$A,2024),"")</f>
        <v>0</v>
      </c>
    </row>
    <row r="62" customFormat="false" ht="15" hidden="false" customHeight="false" outlineLevel="0" collapsed="false">
      <c r="A62" s="2" t="s">
        <v>18</v>
      </c>
      <c r="B62" s="4" t="str">
        <f aca="false">IFERROR(VLOOKUP($A62,Datos!$B:$C,2,FALSE()),"Sin clasificar")</f>
        <v>Asia</v>
      </c>
      <c r="C62" s="9" t="n">
        <f aca="false">SUMIF(Datos!$B:$B,$A62,Datos!$D:$D)</f>
        <v>31108</v>
      </c>
      <c r="D62" s="10" t="n">
        <f aca="false">IFERROR(AVERAGEIF(Datos!$B:$B,$A62,Datos!$F:$F),"")</f>
        <v>13800</v>
      </c>
      <c r="E62" s="9" t="n">
        <f aca="false">IFERROR(SUMIFS(Datos!$G:$G,Datos!$B:$B,$A62,Datos!$A:$A,2024),"")</f>
        <v>0</v>
      </c>
    </row>
    <row r="63" customFormat="false" ht="15" hidden="false" customHeight="false" outlineLevel="0" collapsed="false">
      <c r="A63" s="2" t="s">
        <v>28</v>
      </c>
      <c r="B63" s="4" t="str">
        <f aca="false">IFERROR(VLOOKUP($A63,Datos!$B:$C,2,FALSE()),"Sin clasificar")</f>
        <v>Asia</v>
      </c>
      <c r="C63" s="9" t="n">
        <f aca="false">SUMIF(Datos!$B:$B,$A63,Datos!$D:$D)</f>
        <v>28562</v>
      </c>
      <c r="D63" s="10" t="n">
        <f aca="false">IFERROR(AVERAGEIF(Datos!$B:$B,$A63,Datos!$F:$F),"")</f>
        <v>17700</v>
      </c>
      <c r="E63" s="9" t="n">
        <f aca="false">IFERROR(SUMIFS(Datos!$G:$G,Datos!$B:$B,$A63,Datos!$A:$A,2024),"")</f>
        <v>406863396487.34</v>
      </c>
    </row>
    <row r="64" customFormat="false" ht="15" hidden="false" customHeight="false" outlineLevel="0" collapsed="false">
      <c r="A64" s="2" t="s">
        <v>24</v>
      </c>
      <c r="B64" s="4" t="str">
        <f aca="false">IFERROR(VLOOKUP($A64,Datos!$B:$C,2,FALSE()),"Sin clasificar")</f>
        <v>Europe</v>
      </c>
      <c r="C64" s="9" t="n">
        <f aca="false">SUMIF(Datos!$B:$B,$A64,Datos!$D:$D)</f>
        <v>25488</v>
      </c>
      <c r="D64" s="10" t="n">
        <f aca="false">IFERROR(AVERAGEIF(Datos!$B:$B,$A64,Datos!$F:$F),"")</f>
        <v>10870</v>
      </c>
      <c r="E64" s="9" t="n">
        <f aca="false">IFERROR(SUMIFS(Datos!$G:$G,Datos!$B:$B,$A64,Datos!$A:$A,2024),"")</f>
        <v>113343355779.99</v>
      </c>
    </row>
    <row r="65" customFormat="false" ht="15" hidden="false" customHeight="false" outlineLevel="0" collapsed="false">
      <c r="A65" s="2" t="s">
        <v>83</v>
      </c>
      <c r="B65" s="4" t="str">
        <f aca="false">IFERROR(VLOOKUP($A65,Datos!$B:$C,2,FALSE()),"Sin clasificar")</f>
        <v>Europe</v>
      </c>
      <c r="C65" s="9" t="n">
        <f aca="false">SUMIF(Datos!$B:$B,$A65,Datos!$D:$D)</f>
        <v>24129</v>
      </c>
      <c r="D65" s="10" t="n">
        <f aca="false">IFERROR(AVERAGEIF(Datos!$B:$B,$A65,Datos!$F:$F),"")</f>
        <v>9980</v>
      </c>
      <c r="E65" s="9" t="n">
        <f aca="false">IFERROR(SUMIFS(Datos!$G:$G,Datos!$B:$B,$A65,Datos!$A:$A,2024),"")</f>
        <v>0</v>
      </c>
    </row>
    <row r="66" customFormat="false" ht="15" hidden="false" customHeight="false" outlineLevel="0" collapsed="false">
      <c r="A66" s="2" t="s">
        <v>17</v>
      </c>
      <c r="B66" s="4" t="str">
        <f aca="false">IFERROR(VLOOKUP($A66,Datos!$B:$C,2,FALSE()),"Sin clasificar")</f>
        <v>North America</v>
      </c>
      <c r="C66" s="9" t="n">
        <f aca="false">SUMIF(Datos!$B:$B,$A66,Datos!$D:$D)</f>
        <v>24002</v>
      </c>
      <c r="D66" s="10" t="str">
        <f aca="false">IFERROR(AVERAGEIF(Datos!$B:$B,$A66,Datos!$F:$F),"")</f>
        <v/>
      </c>
      <c r="E66" s="9" t="n">
        <f aca="false">IFERROR(SUMIFS(Datos!$G:$G,Datos!$B:$B,$A66,Datos!$A:$A,2024),"")</f>
        <v>0</v>
      </c>
    </row>
    <row r="67" customFormat="false" ht="15" hidden="false" customHeight="false" outlineLevel="0" collapsed="false">
      <c r="A67" s="2" t="s">
        <v>27</v>
      </c>
      <c r="B67" s="4" t="str">
        <f aca="false">IFERROR(VLOOKUP($A67,Datos!$B:$C,2,FALSE()),"Sin clasificar")</f>
        <v>Asia</v>
      </c>
      <c r="C67" s="9" t="n">
        <f aca="false">SUMIF(Datos!$B:$B,$A67,Datos!$D:$D)</f>
        <v>23772</v>
      </c>
      <c r="D67" s="10" t="n">
        <f aca="false">IFERROR(AVERAGEIF(Datos!$B:$B,$A67,Datos!$F:$F),"")</f>
        <v>17000</v>
      </c>
      <c r="E67" s="9" t="n">
        <f aca="false">IFERROR(SUMIFS(Datos!$G:$G,Datos!$B:$B,$A67,Datos!$A:$A,2024),"")</f>
        <v>0</v>
      </c>
    </row>
    <row r="68" customFormat="false" ht="15" hidden="false" customHeight="false" outlineLevel="0" collapsed="false">
      <c r="A68" s="2" t="s">
        <v>79</v>
      </c>
      <c r="B68" s="4" t="str">
        <f aca="false">IFERROR(VLOOKUP($A68,Datos!$B:$C,2,FALSE()),"Sin clasificar")</f>
        <v>Oceania</v>
      </c>
      <c r="C68" s="9" t="n">
        <f aca="false">SUMIF(Datos!$B:$B,$A68,Datos!$D:$D)</f>
        <v>23235</v>
      </c>
      <c r="D68" s="10" t="n">
        <f aca="false">IFERROR(AVERAGEIF(Datos!$B:$B,$A68,Datos!$F:$F),"")</f>
        <v>10800</v>
      </c>
      <c r="E68" s="9" t="n">
        <f aca="false">IFERROR(SUMIFS(Datos!$G:$G,Datos!$B:$B,$A68,Datos!$A:$A,2024),"")</f>
        <v>0</v>
      </c>
    </row>
    <row r="69" customFormat="false" ht="15" hidden="false" customHeight="false" outlineLevel="0" collapsed="false">
      <c r="A69" s="2" t="s">
        <v>55</v>
      </c>
      <c r="B69" s="4" t="str">
        <f aca="false">IFERROR(VLOOKUP($A69,Datos!$B:$C,2,FALSE()),"Sin clasificar")</f>
        <v>Asia</v>
      </c>
      <c r="C69" s="9" t="n">
        <f aca="false">SUMIF(Datos!$B:$B,$A69,Datos!$D:$D)</f>
        <v>20282</v>
      </c>
      <c r="D69" s="10" t="str">
        <f aca="false">IFERROR(AVERAGEIF(Datos!$B:$B,$A69,Datos!$F:$F),"")</f>
        <v/>
      </c>
      <c r="E69" s="9" t="n">
        <f aca="false">IFERROR(SUMIFS(Datos!$G:$G,Datos!$B:$B,$A69,Datos!$A:$A,2024),"")</f>
        <v>0</v>
      </c>
    </row>
    <row r="70" customFormat="false" ht="15" hidden="false" customHeight="false" outlineLevel="0" collapsed="false">
      <c r="A70" s="2" t="s">
        <v>43</v>
      </c>
      <c r="B70" s="4" t="str">
        <f aca="false">IFERROR(VLOOKUP($A70,Datos!$B:$C,2,FALSE()),"Sin clasificar")</f>
        <v>Sin clasificar</v>
      </c>
      <c r="C70" s="9" t="n">
        <f aca="false">SUMIF(Datos!$B:$B,$A70,Datos!$D:$D)</f>
        <v>16578</v>
      </c>
      <c r="D70" s="10" t="n">
        <f aca="false">IFERROR(AVERAGEIF(Datos!$B:$B,$A70,Datos!$F:$F),"")</f>
        <v>0</v>
      </c>
      <c r="E70" s="9" t="n">
        <f aca="false">IFERROR(SUMIFS(Datos!$G:$G,Datos!$B:$B,$A70,Datos!$A:$A,2024),"")</f>
        <v>0</v>
      </c>
    </row>
    <row r="71" customFormat="false" ht="15" hidden="false" customHeight="false" outlineLevel="0" collapsed="false">
      <c r="A71" s="2" t="s">
        <v>101</v>
      </c>
      <c r="B71" s="4" t="str">
        <f aca="false">IFERROR(VLOOKUP($A71,Datos!$B:$C,2,FALSE()),"Sin clasificar")</f>
        <v>Europe</v>
      </c>
      <c r="C71" s="9" t="n">
        <f aca="false">SUMIF(Datos!$B:$B,$A71,Datos!$D:$D)</f>
        <v>15756</v>
      </c>
      <c r="D71" s="10" t="n">
        <f aca="false">IFERROR(AVERAGEIF(Datos!$B:$B,$A71,Datos!$F:$F),"")</f>
        <v>11000</v>
      </c>
      <c r="E71" s="9" t="n">
        <f aca="false">IFERROR(SUMIFS(Datos!$G:$G,Datos!$B:$B,$A71,Datos!$A:$A,2024),"")</f>
        <v>0</v>
      </c>
    </row>
    <row r="72" customFormat="false" ht="15" hidden="false" customHeight="false" outlineLevel="0" collapsed="false">
      <c r="A72" s="2" t="s">
        <v>120</v>
      </c>
      <c r="B72" s="4" t="str">
        <f aca="false">IFERROR(VLOOKUP($A72,Datos!$B:$C,2,FALSE()),"Sin clasificar")</f>
        <v>Asia</v>
      </c>
      <c r="C72" s="9" t="n">
        <f aca="false">SUMIF(Datos!$B:$B,$A72,Datos!$D:$D)</f>
        <v>15122</v>
      </c>
      <c r="D72" s="10" t="n">
        <f aca="false">IFERROR(AVERAGEIF(Datos!$B:$B,$A72,Datos!$F:$F),"")</f>
        <v>17600</v>
      </c>
      <c r="E72" s="9" t="n">
        <f aca="false">IFERROR(SUMIFS(Datos!$G:$G,Datos!$B:$B,$A72,Datos!$A:$A,2024),"")</f>
        <v>476388230307.18</v>
      </c>
    </row>
    <row r="73" customFormat="false" ht="15" hidden="false" customHeight="false" outlineLevel="0" collapsed="false">
      <c r="A73" s="2" t="s">
        <v>102</v>
      </c>
      <c r="B73" s="4" t="str">
        <f aca="false">IFERROR(VLOOKUP($A73,Datos!$B:$C,2,FALSE()),"Sin clasificar")</f>
        <v>Asia</v>
      </c>
      <c r="C73" s="9" t="n">
        <f aca="false">SUMIF(Datos!$B:$B,$A73,Datos!$D:$D)</f>
        <v>14169</v>
      </c>
      <c r="D73" s="10" t="n">
        <f aca="false">IFERROR(AVERAGEIF(Datos!$B:$B,$A73,Datos!$F:$F),"")</f>
        <v>18800</v>
      </c>
      <c r="E73" s="9" t="n">
        <f aca="false">IFERROR(SUMIFS(Datos!$G:$G,Datos!$B:$B,$A73,Datos!$A:$A,2024),"")</f>
        <v>547386645891.85</v>
      </c>
    </row>
    <row r="74" customFormat="false" ht="15" hidden="false" customHeight="false" outlineLevel="0" collapsed="false">
      <c r="A74" s="2" t="s">
        <v>112</v>
      </c>
      <c r="B74" s="4" t="str">
        <f aca="false">IFERROR(VLOOKUP($A74,Datos!$B:$C,2,FALSE()),"Sin clasificar")</f>
        <v>Asia</v>
      </c>
      <c r="C74" s="9" t="n">
        <f aca="false">SUMIF(Datos!$B:$B,$A74,Datos!$D:$D)</f>
        <v>13879</v>
      </c>
      <c r="D74" s="10" t="n">
        <f aca="false">IFERROR(AVERAGEIF(Datos!$B:$B,$A74,Datos!$F:$F),"")</f>
        <v>13800</v>
      </c>
      <c r="E74" s="9" t="n">
        <f aca="false">IFERROR(SUMIFS(Datos!$G:$G,Datos!$B:$B,$A74,Datos!$A:$A,2024),"")</f>
        <v>0</v>
      </c>
    </row>
    <row r="75" customFormat="false" ht="15" hidden="false" customHeight="false" outlineLevel="0" collapsed="false">
      <c r="A75" s="2" t="s">
        <v>85</v>
      </c>
      <c r="B75" s="4" t="str">
        <f aca="false">IFERROR(VLOOKUP($A75,Datos!$B:$C,2,FALSE()),"Sin clasificar")</f>
        <v>Asia</v>
      </c>
      <c r="C75" s="9" t="n">
        <f aca="false">SUMIF(Datos!$B:$B,$A75,Datos!$D:$D)</f>
        <v>13776</v>
      </c>
      <c r="D75" s="10" t="n">
        <f aca="false">IFERROR(AVERAGEIF(Datos!$B:$B,$A75,Datos!$F:$F),"")</f>
        <v>0</v>
      </c>
      <c r="E75" s="9" t="n">
        <f aca="false">IFERROR(SUMIFS(Datos!$G:$G,Datos!$B:$B,$A75,Datos!$A:$A,2024),"")</f>
        <v>0</v>
      </c>
    </row>
    <row r="76" customFormat="false" ht="15" hidden="false" customHeight="false" outlineLevel="0" collapsed="false">
      <c r="A76" s="2" t="s">
        <v>97</v>
      </c>
      <c r="B76" s="4" t="str">
        <f aca="false">IFERROR(VLOOKUP($A76,Datos!$B:$C,2,FALSE()),"Sin clasificar")</f>
        <v>North America</v>
      </c>
      <c r="C76" s="9" t="n">
        <f aca="false">SUMIF(Datos!$B:$B,$A76,Datos!$D:$D)</f>
        <v>13629</v>
      </c>
      <c r="D76" s="10" t="n">
        <f aca="false">IFERROR(AVERAGEIF(Datos!$B:$B,$A76,Datos!$F:$F),"")</f>
        <v>2900</v>
      </c>
      <c r="E76" s="9" t="n">
        <f aca="false">IFERROR(SUMIFS(Datos!$G:$G,Datos!$B:$B,$A76,Datos!$A:$A,2024),"")</f>
        <v>0</v>
      </c>
    </row>
    <row r="77" customFormat="false" ht="15" hidden="false" customHeight="false" outlineLevel="0" collapsed="false">
      <c r="A77" s="2" t="s">
        <v>47</v>
      </c>
      <c r="B77" s="4" t="str">
        <f aca="false">IFERROR(VLOOKUP($A77,Datos!$B:$C,2,FALSE()),"Sin clasificar")</f>
        <v>Oceania</v>
      </c>
      <c r="C77" s="9" t="n">
        <f aca="false">SUMIF(Datos!$B:$B,$A77,Datos!$D:$D)</f>
        <v>9683</v>
      </c>
      <c r="D77" s="10" t="n">
        <f aca="false">IFERROR(AVERAGEIF(Datos!$B:$B,$A77,Datos!$F:$F),"")</f>
        <v>14200</v>
      </c>
      <c r="E77" s="9" t="n">
        <f aca="false">IFERROR(SUMIFS(Datos!$G:$G,Datos!$B:$B,$A77,Datos!$A:$A,2024),"")</f>
        <v>0</v>
      </c>
    </row>
    <row r="78" customFormat="false" ht="15" hidden="false" customHeight="false" outlineLevel="0" collapsed="false">
      <c r="A78" s="2" t="s">
        <v>22</v>
      </c>
      <c r="B78" s="4" t="str">
        <f aca="false">IFERROR(VLOOKUP($A78,Datos!$B:$C,2,FALSE()),"Sin clasificar")</f>
        <v>Europe</v>
      </c>
      <c r="C78" s="9" t="n">
        <f aca="false">SUMIF(Datos!$B:$B,$A78,Datos!$D:$D)</f>
        <v>9358</v>
      </c>
      <c r="D78" s="10" t="n">
        <f aca="false">IFERROR(AVERAGEIF(Datos!$B:$B,$A78,Datos!$F:$F),"")</f>
        <v>10500</v>
      </c>
      <c r="E78" s="9" t="n">
        <f aca="false">IFERROR(SUMIFS(Datos!$G:$G,Datos!$B:$B,$A78,Datos!$A:$A,2024),"")</f>
        <v>0</v>
      </c>
    </row>
    <row r="79" customFormat="false" ht="15" hidden="false" customHeight="false" outlineLevel="0" collapsed="false">
      <c r="A79" s="2" t="s">
        <v>51</v>
      </c>
      <c r="B79" s="4" t="str">
        <f aca="false">IFERROR(VLOOKUP($A79,Datos!$B:$C,2,FALSE()),"Sin clasificar")</f>
        <v>North America</v>
      </c>
      <c r="C79" s="9" t="n">
        <f aca="false">SUMIF(Datos!$B:$B,$A79,Datos!$D:$D)</f>
        <v>7887</v>
      </c>
      <c r="D79" s="10" t="n">
        <f aca="false">IFERROR(AVERAGEIF(Datos!$B:$B,$A79,Datos!$F:$F),"")</f>
        <v>1800</v>
      </c>
      <c r="E79" s="9" t="n">
        <f aca="false">IFERROR(SUMIFS(Datos!$G:$G,Datos!$B:$B,$A79,Datos!$A:$A,2024),"")</f>
        <v>0</v>
      </c>
    </row>
    <row r="80" customFormat="false" ht="15" hidden="false" customHeight="false" outlineLevel="0" collapsed="false">
      <c r="A80" s="2" t="s">
        <v>58</v>
      </c>
      <c r="B80" s="4" t="str">
        <f aca="false">IFERROR(VLOOKUP($A80,Datos!$B:$C,2,FALSE()),"Sin clasificar")</f>
        <v>Asia</v>
      </c>
      <c r="C80" s="9" t="n">
        <f aca="false">SUMIF(Datos!$B:$B,$A80,Datos!$D:$D)</f>
        <v>7131</v>
      </c>
      <c r="D80" s="10" t="n">
        <f aca="false">IFERROR(AVERAGEIF(Datos!$B:$B,$A80,Datos!$F:$F),"")</f>
        <v>12100</v>
      </c>
      <c r="E80" s="9" t="n">
        <f aca="false">IFERROR(SUMIFS(Datos!$G:$G,Datos!$B:$B,$A80,Datos!$A:$A,2024),"")</f>
        <v>0</v>
      </c>
    </row>
    <row r="81" customFormat="false" ht="15" hidden="false" customHeight="false" outlineLevel="0" collapsed="false">
      <c r="A81" s="2" t="s">
        <v>49</v>
      </c>
      <c r="B81" s="4" t="str">
        <f aca="false">IFERROR(VLOOKUP($A81,Datos!$B:$C,2,FALSE()),"Sin clasificar")</f>
        <v>South America</v>
      </c>
      <c r="C81" s="9" t="n">
        <f aca="false">SUMIF(Datos!$B:$B,$A81,Datos!$D:$D)</f>
        <v>5386</v>
      </c>
      <c r="D81" s="10" t="n">
        <f aca="false">IFERROR(AVERAGEIF(Datos!$B:$B,$A81,Datos!$F:$F),"")</f>
        <v>2400</v>
      </c>
      <c r="E81" s="9" t="n">
        <f aca="false">IFERROR(SUMIFS(Datos!$G:$G,Datos!$B:$B,$A81,Datos!$A:$A,2024),"")</f>
        <v>0</v>
      </c>
    </row>
    <row r="82" customFormat="false" ht="15" hidden="false" customHeight="false" outlineLevel="0" collapsed="false">
      <c r="A82" s="2" t="s">
        <v>46</v>
      </c>
      <c r="B82" s="4" t="str">
        <f aca="false">IFERROR(VLOOKUP($A82,Datos!$B:$C,2,FALSE()),"Sin clasificar")</f>
        <v>Europe</v>
      </c>
      <c r="C82" s="9" t="n">
        <f aca="false">SUMIF(Datos!$B:$B,$A82,Datos!$D:$D)</f>
        <v>4593</v>
      </c>
      <c r="D82" s="10" t="n">
        <f aca="false">IFERROR(AVERAGEIF(Datos!$B:$B,$A82,Datos!$F:$F),"")</f>
        <v>11250</v>
      </c>
      <c r="E82" s="9" t="n">
        <f aca="false">IFERROR(SUMIFS(Datos!$G:$G,Datos!$B:$B,$A82,Datos!$A:$A,2024),"")</f>
        <v>0</v>
      </c>
    </row>
    <row r="83" customFormat="false" ht="15" hidden="false" customHeight="false" outlineLevel="0" collapsed="false">
      <c r="A83" s="2" t="s">
        <v>104</v>
      </c>
      <c r="B83" s="4" t="str">
        <f aca="false">IFERROR(VLOOKUP($A83,Datos!$B:$C,2,FALSE()),"Sin clasificar")</f>
        <v>Europe</v>
      </c>
      <c r="C83" s="9" t="n">
        <f aca="false">SUMIF(Datos!$B:$B,$A83,Datos!$D:$D)</f>
        <v>4046</v>
      </c>
      <c r="D83" s="10" t="n">
        <f aca="false">IFERROR(AVERAGEIF(Datos!$B:$B,$A83,Datos!$F:$F),"")</f>
        <v>10300</v>
      </c>
      <c r="E83" s="9" t="n">
        <f aca="false">IFERROR(SUMIFS(Datos!$G:$G,Datos!$B:$B,$A83,Datos!$A:$A,2024),"")</f>
        <v>0</v>
      </c>
    </row>
    <row r="84" customFormat="false" ht="15" hidden="false" customHeight="false" outlineLevel="0" collapsed="false">
      <c r="A84" s="2" t="s">
        <v>48</v>
      </c>
      <c r="B84" s="4" t="str">
        <f aca="false">IFERROR(VLOOKUP($A84,Datos!$B:$C,2,FALSE()),"Sin clasificar")</f>
        <v>North America</v>
      </c>
      <c r="C84" s="9" t="n">
        <f aca="false">SUMIF(Datos!$B:$B,$A84,Datos!$D:$D)</f>
        <v>3322</v>
      </c>
      <c r="D84" s="10" t="n">
        <f aca="false">IFERROR(AVERAGEIF(Datos!$B:$B,$A84,Datos!$F:$F),"")</f>
        <v>2000</v>
      </c>
      <c r="E84" s="9" t="n">
        <f aca="false">IFERROR(SUMIFS(Datos!$G:$G,Datos!$B:$B,$A84,Datos!$A:$A,2024),"")</f>
        <v>0</v>
      </c>
    </row>
    <row r="85" customFormat="false" ht="15" hidden="false" customHeight="false" outlineLevel="0" collapsed="false">
      <c r="A85" s="2" t="s">
        <v>98</v>
      </c>
      <c r="B85" s="4" t="str">
        <f aca="false">IFERROR(VLOOKUP($A85,Datos!$B:$C,2,FALSE()),"Sin clasificar")</f>
        <v>North America</v>
      </c>
      <c r="C85" s="9" t="n">
        <f aca="false">SUMIF(Datos!$B:$B,$A85,Datos!$D:$D)</f>
        <v>3292</v>
      </c>
      <c r="D85" s="10" t="n">
        <f aca="false">IFERROR(AVERAGEIF(Datos!$B:$B,$A85,Datos!$F:$F),"")</f>
        <v>2750</v>
      </c>
      <c r="E85" s="9" t="n">
        <f aca="false">IFERROR(SUMIFS(Datos!$G:$G,Datos!$B:$B,$A85,Datos!$A:$A,2024),"")</f>
        <v>0</v>
      </c>
    </row>
    <row r="86" customFormat="false" ht="15" hidden="false" customHeight="false" outlineLevel="0" collapsed="false">
      <c r="A86" s="2" t="s">
        <v>34</v>
      </c>
      <c r="B86" s="4" t="str">
        <f aca="false">IFERROR(VLOOKUP($A86,Datos!$B:$C,2,FALSE()),"Sin clasificar")</f>
        <v>Europe</v>
      </c>
      <c r="C86" s="9" t="n">
        <f aca="false">SUMIF(Datos!$B:$B,$A86,Datos!$D:$D)</f>
        <v>2721</v>
      </c>
      <c r="D86" s="10" t="n">
        <f aca="false">IFERROR(AVERAGEIF(Datos!$B:$B,$A86,Datos!$F:$F),"")</f>
        <v>11900</v>
      </c>
      <c r="E86" s="9" t="n">
        <f aca="false">IFERROR(SUMIFS(Datos!$G:$G,Datos!$B:$B,$A86,Datos!$A:$A,2024),"")</f>
        <v>0</v>
      </c>
    </row>
    <row r="87" customFormat="false" ht="15" hidden="false" customHeight="false" outlineLevel="0" collapsed="false">
      <c r="A87" s="2" t="s">
        <v>93</v>
      </c>
      <c r="B87" s="4" t="str">
        <f aca="false">IFERROR(VLOOKUP($A87,Datos!$B:$C,2,FALSE()),"Sin clasificar")</f>
        <v>Asia</v>
      </c>
      <c r="C87" s="9" t="n">
        <f aca="false">SUMIF(Datos!$B:$B,$A87,Datos!$D:$D)</f>
        <v>2525</v>
      </c>
      <c r="D87" s="10" t="n">
        <f aca="false">IFERROR(AVERAGEIF(Datos!$B:$B,$A87,Datos!$F:$F),"")</f>
        <v>15250</v>
      </c>
      <c r="E87" s="9" t="n">
        <f aca="false">IFERROR(SUMIFS(Datos!$G:$G,Datos!$B:$B,$A87,Datos!$A:$A,2024),"")</f>
        <v>1875388209406.8</v>
      </c>
    </row>
    <row r="88" customFormat="false" ht="15" hidden="false" customHeight="false" outlineLevel="0" collapsed="false">
      <c r="A88" s="2" t="s">
        <v>33</v>
      </c>
      <c r="B88" s="4" t="str">
        <f aca="false">IFERROR(VLOOKUP($A88,Datos!$B:$C,2,FALSE()),"Sin clasificar")</f>
        <v>North America</v>
      </c>
      <c r="C88" s="9" t="n">
        <f aca="false">SUMIF(Datos!$B:$B,$A88,Datos!$D:$D)</f>
        <v>2220</v>
      </c>
      <c r="D88" s="10" t="n">
        <f aca="false">IFERROR(AVERAGEIF(Datos!$B:$B,$A88,Datos!$F:$F),"")</f>
        <v>2100</v>
      </c>
      <c r="E88" s="9" t="n">
        <f aca="false">IFERROR(SUMIFS(Datos!$G:$G,Datos!$B:$B,$A88,Datos!$A:$A,2024),"")</f>
        <v>0</v>
      </c>
    </row>
    <row r="89" customFormat="false" ht="15" hidden="false" customHeight="false" outlineLevel="0" collapsed="false">
      <c r="A89" s="2" t="s">
        <v>70</v>
      </c>
      <c r="B89" s="4" t="str">
        <f aca="false">IFERROR(VLOOKUP($A89,Datos!$B:$C,2,FALSE()),"Sin clasificar")</f>
        <v>Asia</v>
      </c>
      <c r="C89" s="9" t="n">
        <f aca="false">SUMIF(Datos!$B:$B,$A89,Datos!$D:$D)</f>
        <v>2100</v>
      </c>
      <c r="D89" s="10" t="n">
        <f aca="false">IFERROR(AVERAGEIF(Datos!$B:$B,$A89,Datos!$F:$F),"")</f>
        <v>19950</v>
      </c>
      <c r="E89" s="9" t="n">
        <f aca="false">IFERROR(SUMIFS(Datos!$G:$G,Datos!$B:$B,$A89,Datos!$A:$A,2024),"")</f>
        <v>422227005428.69</v>
      </c>
    </row>
    <row r="90" customFormat="false" ht="15" hidden="false" customHeight="false" outlineLevel="0" collapsed="false">
      <c r="A90" s="2" t="s">
        <v>41</v>
      </c>
      <c r="B90" s="4" t="str">
        <f aca="false">IFERROR(VLOOKUP($A90,Datos!$B:$C,2,FALSE()),"Sin clasificar")</f>
        <v>Europe</v>
      </c>
      <c r="C90" s="9" t="n">
        <f aca="false">SUMIF(Datos!$B:$B,$A90,Datos!$D:$D)</f>
        <v>1974</v>
      </c>
      <c r="D90" s="10" t="n">
        <f aca="false">IFERROR(AVERAGEIF(Datos!$B:$B,$A90,Datos!$F:$F),"")</f>
        <v>10450</v>
      </c>
      <c r="E90" s="9" t="n">
        <f aca="false">IFERROR(SUMIFS(Datos!$G:$G,Datos!$B:$B,$A90,Datos!$A:$A,2024),"")</f>
        <v>298696961297.66</v>
      </c>
    </row>
    <row r="91" customFormat="false" ht="15" hidden="false" customHeight="false" outlineLevel="0" collapsed="false">
      <c r="A91" s="2" t="s">
        <v>82</v>
      </c>
      <c r="B91" s="4" t="str">
        <f aca="false">IFERROR(VLOOKUP($A91,Datos!$B:$C,2,FALSE()),"Sin clasificar")</f>
        <v>Europe</v>
      </c>
      <c r="C91" s="9" t="n">
        <f aca="false">SUMIF(Datos!$B:$B,$A91,Datos!$D:$D)</f>
        <v>1898</v>
      </c>
      <c r="D91" s="10" t="n">
        <f aca="false">IFERROR(AVERAGEIF(Datos!$B:$B,$A91,Datos!$F:$F),"")</f>
        <v>11170</v>
      </c>
      <c r="E91" s="9" t="n">
        <f aca="false">IFERROR(SUMIFS(Datos!$G:$G,Datos!$B:$B,$A91,Datos!$A:$A,2024),"")</f>
        <v>0</v>
      </c>
    </row>
    <row r="92" customFormat="false" ht="15" hidden="false" customHeight="false" outlineLevel="0" collapsed="false">
      <c r="A92" s="2" t="s">
        <v>2</v>
      </c>
      <c r="B92" s="4" t="str">
        <f aca="false">IFERROR(VLOOKUP($A92,Datos!$B:$C,2,FALSE()),"Sin clasificar")</f>
        <v>Africa</v>
      </c>
      <c r="C92" s="9" t="n">
        <f aca="false">SUMIF(Datos!$B:$B,$A92,Datos!$D:$D)</f>
        <v>1727</v>
      </c>
      <c r="D92" s="10" t="n">
        <f aca="false">IFERROR(AVERAGEIF(Datos!$B:$B,$A92,Datos!$F:$F),"")</f>
        <v>9140</v>
      </c>
      <c r="E92" s="9" t="n">
        <f aca="false">IFERROR(SUMIFS(Datos!$G:$G,Datos!$B:$B,$A92,Datos!$A:$A,2024),"")</f>
        <v>269322281664.77</v>
      </c>
    </row>
    <row r="93" customFormat="false" ht="15" hidden="false" customHeight="false" outlineLevel="0" collapsed="false">
      <c r="A93" s="2" t="s">
        <v>30</v>
      </c>
      <c r="B93" s="4" t="str">
        <f aca="false">IFERROR(VLOOKUP($A93,Datos!$B:$C,2,FALSE()),"Sin clasificar")</f>
        <v>North America</v>
      </c>
      <c r="C93" s="9" t="n">
        <f aca="false">SUMIF(Datos!$B:$B,$A93,Datos!$D:$D)</f>
        <v>1695</v>
      </c>
      <c r="D93" s="10" t="n">
        <f aca="false">IFERROR(AVERAGEIF(Datos!$B:$B,$A93,Datos!$F:$F),"")</f>
        <v>1300</v>
      </c>
      <c r="E93" s="9" t="n">
        <f aca="false">IFERROR(SUMIFS(Datos!$G:$G,Datos!$B:$B,$A93,Datos!$A:$A,2024),"")</f>
        <v>0</v>
      </c>
    </row>
    <row r="94" customFormat="false" ht="15" hidden="false" customHeight="false" outlineLevel="0" collapsed="false">
      <c r="A94" s="2" t="s">
        <v>67</v>
      </c>
      <c r="B94" s="4" t="str">
        <f aca="false">IFERROR(VLOOKUP($A94,Datos!$B:$C,2,FALSE()),"Sin clasificar")</f>
        <v>Asia</v>
      </c>
      <c r="C94" s="9" t="n">
        <f aca="false">SUMIF(Datos!$B:$B,$A94,Datos!$D:$D)</f>
        <v>1562</v>
      </c>
      <c r="D94" s="10" t="n">
        <f aca="false">IFERROR(AVERAGEIF(Datos!$B:$B,$A94,Datos!$F:$F),"")</f>
        <v>11800</v>
      </c>
      <c r="E94" s="9" t="n">
        <f aca="false">IFERROR(SUMIFS(Datos!$G:$G,Datos!$B:$B,$A94,Datos!$A:$A,2024),"")</f>
        <v>0</v>
      </c>
    </row>
    <row r="95" customFormat="false" ht="15" hidden="false" customHeight="false" outlineLevel="0" collapsed="false">
      <c r="A95" s="2" t="s">
        <v>76</v>
      </c>
      <c r="B95" s="4" t="str">
        <f aca="false">IFERROR(VLOOKUP($A95,Datos!$B:$C,2,FALSE()),"Sin clasificar")</f>
        <v>Oceania</v>
      </c>
      <c r="C95" s="9" t="n">
        <f aca="false">SUMIF(Datos!$B:$B,$A95,Datos!$D:$D)</f>
        <v>1112</v>
      </c>
      <c r="D95" s="10" t="n">
        <f aca="false">IFERROR(AVERAGEIF(Datos!$B:$B,$A95,Datos!$F:$F),"")</f>
        <v>14000</v>
      </c>
      <c r="E95" s="9" t="n">
        <f aca="false">IFERROR(SUMIFS(Datos!$G:$G,Datos!$B:$B,$A95,Datos!$A:$A,2024),"")</f>
        <v>0</v>
      </c>
    </row>
    <row r="96" customFormat="false" ht="15" hidden="false" customHeight="false" outlineLevel="0" collapsed="false">
      <c r="A96" s="2" t="s">
        <v>57</v>
      </c>
      <c r="B96" s="4" t="str">
        <f aca="false">IFERROR(VLOOKUP($A96,Datos!$B:$C,2,FALSE()),"Sin clasificar")</f>
        <v>Europe</v>
      </c>
      <c r="C96" s="9" t="n">
        <f aca="false">SUMIF(Datos!$B:$B,$A96,Datos!$D:$D)</f>
        <v>1024</v>
      </c>
      <c r="D96" s="10" t="n">
        <f aca="false">IFERROR(AVERAGEIF(Datos!$B:$B,$A96,Datos!$F:$F),"")</f>
        <v>9100</v>
      </c>
      <c r="E96" s="9" t="n">
        <f aca="false">IFERROR(SUMIFS(Datos!$G:$G,Datos!$B:$B,$A96,Datos!$A:$A,2024),"")</f>
        <v>609157459747.21</v>
      </c>
    </row>
    <row r="97" customFormat="false" ht="15" hidden="false" customHeight="false" outlineLevel="0" collapsed="false">
      <c r="A97" s="2" t="s">
        <v>21</v>
      </c>
      <c r="B97" s="4" t="str">
        <f aca="false">IFERROR(VLOOKUP($A97,Datos!$B:$C,2,FALSE()),"Sin clasificar")</f>
        <v>South America</v>
      </c>
      <c r="C97" s="9" t="n">
        <f aca="false">SUMIF(Datos!$B:$B,$A97,Datos!$D:$D)</f>
        <v>819</v>
      </c>
      <c r="D97" s="10" t="n">
        <f aca="false">IFERROR(AVERAGEIF(Datos!$B:$B,$A97,Datos!$F:$F),"")</f>
        <v>2060</v>
      </c>
      <c r="E97" s="9" t="n">
        <f aca="false">IFERROR(SUMIFS(Datos!$G:$G,Datos!$B:$B,$A97,Datos!$A:$A,2024),"")</f>
        <v>0</v>
      </c>
    </row>
    <row r="98" customFormat="false" ht="15" hidden="false" customHeight="false" outlineLevel="0" collapsed="false">
      <c r="A98" s="2" t="s">
        <v>56</v>
      </c>
      <c r="B98" s="4" t="str">
        <f aca="false">IFERROR(VLOOKUP($A98,Datos!$B:$C,2,FALSE()),"Sin clasificar")</f>
        <v>Asia</v>
      </c>
      <c r="C98" s="9" t="n">
        <f aca="false">SUMIF(Datos!$B:$B,$A98,Datos!$D:$D)</f>
        <v>781</v>
      </c>
      <c r="D98" s="10" t="n">
        <f aca="false">IFERROR(AVERAGEIF(Datos!$B:$B,$A98,Datos!$F:$F),"")</f>
        <v>12800</v>
      </c>
      <c r="E98" s="9" t="n">
        <f aca="false">IFERROR(SUMIFS(Datos!$G:$G,Datos!$B:$B,$A98,Datos!$A:$A,2024),"")</f>
        <v>0</v>
      </c>
    </row>
    <row r="99" customFormat="false" ht="15" hidden="false" customHeight="false" outlineLevel="0" collapsed="false">
      <c r="A99" s="2" t="s">
        <v>10</v>
      </c>
      <c r="B99" s="4" t="str">
        <f aca="false">IFERROR(VLOOKUP($A99,Datos!$B:$C,2,FALSE()),"Sin clasificar")</f>
        <v>North America</v>
      </c>
      <c r="C99" s="9" t="n">
        <f aca="false">SUMIF(Datos!$B:$B,$A99,Datos!$D:$D)</f>
        <v>752</v>
      </c>
      <c r="D99" s="10" t="n">
        <f aca="false">IFERROR(AVERAGEIF(Datos!$B:$B,$A99,Datos!$F:$F),"")</f>
        <v>2100</v>
      </c>
      <c r="E99" s="9" t="n">
        <f aca="false">IFERROR(SUMIFS(Datos!$G:$G,Datos!$B:$B,$A99,Datos!$A:$A,2024),"")</f>
        <v>0</v>
      </c>
    </row>
    <row r="100" customFormat="false" ht="15" hidden="false" customHeight="false" outlineLevel="0" collapsed="false">
      <c r="A100" s="2" t="s">
        <v>110</v>
      </c>
      <c r="B100" s="4" t="str">
        <f aca="false">IFERROR(VLOOKUP($A100,Datos!$B:$C,2,FALSE()),"Sin clasificar")</f>
        <v>Asia</v>
      </c>
      <c r="C100" s="9" t="n">
        <f aca="false">SUMIF(Datos!$B:$B,$A100,Datos!$D:$D)</f>
        <v>704</v>
      </c>
      <c r="D100" s="10" t="n">
        <f aca="false">IFERROR(AVERAGEIF(Datos!$B:$B,$A100,Datos!$F:$F),"")</f>
        <v>17500</v>
      </c>
      <c r="E100" s="9" t="n">
        <f aca="false">IFERROR(SUMIFS(Datos!$G:$G,Datos!$B:$B,$A100,Datos!$A:$A,2024),"")</f>
        <v>0</v>
      </c>
    </row>
    <row r="101" customFormat="false" ht="15" hidden="false" customHeight="false" outlineLevel="0" collapsed="false">
      <c r="A101" s="2" t="s">
        <v>74</v>
      </c>
      <c r="B101" s="4" t="str">
        <f aca="false">IFERROR(VLOOKUP($A101,Datos!$B:$C,2,FALSE()),"Sin clasificar")</f>
        <v>Asia</v>
      </c>
      <c r="C101" s="9" t="n">
        <f aca="false">SUMIF(Datos!$B:$B,$A101,Datos!$D:$D)</f>
        <v>680</v>
      </c>
      <c r="D101" s="10" t="n">
        <f aca="false">IFERROR(AVERAGEIF(Datos!$B:$B,$A101,Datos!$F:$F),"")</f>
        <v>14400</v>
      </c>
      <c r="E101" s="9" t="n">
        <f aca="false">IFERROR(SUMIFS(Datos!$G:$G,Datos!$B:$B,$A101,Datos!$A:$A,2024),"")</f>
        <v>23794540024.51</v>
      </c>
    </row>
    <row r="102" customFormat="false" ht="15" hidden="false" customHeight="false" outlineLevel="0" collapsed="false">
      <c r="A102" s="2" t="s">
        <v>53</v>
      </c>
      <c r="B102" s="4" t="str">
        <f aca="false">IFERROR(VLOOKUP($A102,Datos!$B:$C,2,FALSE()),"Sin clasificar")</f>
        <v>Asia</v>
      </c>
      <c r="C102" s="9" t="n">
        <f aca="false">SUMIF(Datos!$B:$B,$A102,Datos!$D:$D)</f>
        <v>544</v>
      </c>
      <c r="D102" s="10" t="n">
        <f aca="false">IFERROR(AVERAGEIF(Datos!$B:$B,$A102,Datos!$F:$F),"")</f>
        <v>16200</v>
      </c>
      <c r="E102" s="9" t="n">
        <f aca="false">IFERROR(SUMIFS(Datos!$G:$G,Datos!$B:$B,$A102,Datos!$A:$A,2024),"")</f>
        <v>0</v>
      </c>
    </row>
    <row r="103" customFormat="false" ht="15" hidden="false" customHeight="false" outlineLevel="0" collapsed="false">
      <c r="A103" s="2" t="s">
        <v>50</v>
      </c>
      <c r="B103" s="4" t="str">
        <f aca="false">IFERROR(VLOOKUP($A103,Datos!$B:$C,2,FALSE()),"Sin clasificar")</f>
        <v>North America</v>
      </c>
      <c r="C103" s="9" t="n">
        <f aca="false">SUMIF(Datos!$B:$B,$A103,Datos!$D:$D)</f>
        <v>378</v>
      </c>
      <c r="D103" s="10" t="n">
        <f aca="false">IFERROR(AVERAGEIF(Datos!$B:$B,$A103,Datos!$F:$F),"")</f>
        <v>2350</v>
      </c>
      <c r="E103" s="9" t="n">
        <f aca="false">IFERROR(SUMIFS(Datos!$G:$G,Datos!$B:$B,$A103,Datos!$A:$A,2024),"")</f>
        <v>0</v>
      </c>
    </row>
    <row r="104" customFormat="false" ht="15" hidden="false" customHeight="false" outlineLevel="0" collapsed="false">
      <c r="A104" s="2" t="s">
        <v>106</v>
      </c>
      <c r="B104" s="4" t="str">
        <f aca="false">IFERROR(VLOOKUP($A104,Datos!$B:$C,2,FALSE()),"Sin clasificar")</f>
        <v>South America</v>
      </c>
      <c r="C104" s="9" t="n">
        <f aca="false">SUMIF(Datos!$B:$B,$A104,Datos!$D:$D)</f>
        <v>321</v>
      </c>
      <c r="D104" s="10" t="n">
        <f aca="false">IFERROR(AVERAGEIF(Datos!$B:$B,$A104,Datos!$F:$F),"")</f>
        <v>2830</v>
      </c>
      <c r="E104" s="9" t="n">
        <f aca="false">IFERROR(SUMIFS(Datos!$G:$G,Datos!$B:$B,$A104,Datos!$A:$A,2024),"")</f>
        <v>0</v>
      </c>
    </row>
    <row r="105" customFormat="false" ht="15" hidden="false" customHeight="false" outlineLevel="0" collapsed="false">
      <c r="A105" s="2" t="s">
        <v>81</v>
      </c>
      <c r="B105" s="4" t="str">
        <f aca="false">IFERROR(VLOOKUP($A105,Datos!$B:$C,2,FALSE()),"Sin clasificar")</f>
        <v>Africa</v>
      </c>
      <c r="C105" s="9" t="n">
        <f aca="false">SUMIF(Datos!$B:$B,$A105,Datos!$D:$D)</f>
        <v>296</v>
      </c>
      <c r="D105" s="10" t="n">
        <f aca="false">IFERROR(AVERAGEIF(Datos!$B:$B,$A105,Datos!$F:$F),"")</f>
        <v>9800</v>
      </c>
      <c r="E105" s="9" t="n">
        <f aca="false">IFERROR(SUMIFS(Datos!$G:$G,Datos!$B:$B,$A105,Datos!$A:$A,2024),"")</f>
        <v>0</v>
      </c>
    </row>
    <row r="106" customFormat="false" ht="15" hidden="false" customHeight="false" outlineLevel="0" collapsed="false">
      <c r="A106" s="2" t="s">
        <v>20</v>
      </c>
      <c r="B106" s="4" t="str">
        <f aca="false">IFERROR(VLOOKUP($A106,Datos!$B:$C,2,FALSE()),"Sin clasificar")</f>
        <v>Europe</v>
      </c>
      <c r="C106" s="9" t="n">
        <f aca="false">SUMIF(Datos!$B:$B,$A106,Datos!$D:$D)</f>
        <v>211</v>
      </c>
      <c r="D106" s="10" t="n">
        <f aca="false">IFERROR(AVERAGEIF(Datos!$B:$B,$A106,Datos!$F:$F),"")</f>
        <v>9350</v>
      </c>
      <c r="E106" s="9" t="n">
        <f aca="false">IFERROR(SUMIFS(Datos!$G:$G,Datos!$B:$B,$A106,Datos!$A:$A,2024),"")</f>
        <v>0</v>
      </c>
    </row>
    <row r="107" customFormat="false" ht="15" hidden="false" customHeight="false" outlineLevel="0" collapsed="false">
      <c r="A107" s="2" t="s">
        <v>84</v>
      </c>
      <c r="B107" s="4" t="str">
        <f aca="false">IFERROR(VLOOKUP($A107,Datos!$B:$C,2,FALSE()),"Sin clasificar")</f>
        <v>Asia</v>
      </c>
      <c r="C107" s="9" t="n">
        <f aca="false">SUMIF(Datos!$B:$B,$A107,Datos!$D:$D)</f>
        <v>200</v>
      </c>
      <c r="D107" s="10" t="n">
        <f aca="false">IFERROR(AVERAGEIF(Datos!$B:$B,$A107,Datos!$F:$F),"")</f>
        <v>14100</v>
      </c>
      <c r="E107" s="9" t="n">
        <f aca="false">IFERROR(SUMIFS(Datos!$G:$G,Datos!$B:$B,$A107,Datos!$A:$A,2024),"")</f>
        <v>0</v>
      </c>
    </row>
    <row r="108" customFormat="false" ht="15" hidden="false" customHeight="false" outlineLevel="0" collapsed="false">
      <c r="A108" s="2" t="s">
        <v>69</v>
      </c>
      <c r="B108" s="4" t="str">
        <f aca="false">IFERROR(VLOOKUP($A108,Datos!$B:$C,2,FALSE()),"Sin clasificar")</f>
        <v>Europe</v>
      </c>
      <c r="C108" s="9" t="n">
        <f aca="false">SUMIF(Datos!$B:$B,$A108,Datos!$D:$D)</f>
        <v>200</v>
      </c>
      <c r="D108" s="10" t="n">
        <f aca="false">IFERROR(AVERAGEIF(Datos!$B:$B,$A108,Datos!$F:$F),"")</f>
        <v>9400</v>
      </c>
      <c r="E108" s="9" t="n">
        <f aca="false">IFERROR(SUMIFS(Datos!$G:$G,Datos!$B:$B,$A108,Datos!$A:$A,2024),"")</f>
        <v>0</v>
      </c>
    </row>
    <row r="109" customFormat="false" ht="15" hidden="false" customHeight="false" outlineLevel="0" collapsed="false">
      <c r="A109" s="2" t="s">
        <v>36</v>
      </c>
      <c r="B109" s="4" t="str">
        <f aca="false">IFERROR(VLOOKUP($A109,Datos!$B:$C,2,FALSE()),"Sin clasificar")</f>
        <v>Asia</v>
      </c>
      <c r="C109" s="9" t="n">
        <f aca="false">SUMIF(Datos!$B:$B,$A109,Datos!$D:$D)</f>
        <v>160</v>
      </c>
      <c r="D109" s="10" t="n">
        <f aca="false">IFERROR(AVERAGEIF(Datos!$B:$B,$A109,Datos!$F:$F),"")</f>
        <v>14800</v>
      </c>
      <c r="E109" s="9" t="n">
        <f aca="false">IFERROR(SUMIFS(Datos!$G:$G,Datos!$B:$B,$A109,Datos!$A:$A,2024),"")</f>
        <v>0</v>
      </c>
    </row>
    <row r="110" customFormat="false" ht="15" hidden="false" customHeight="false" outlineLevel="0" collapsed="false">
      <c r="A110" s="2" t="s">
        <v>73</v>
      </c>
      <c r="B110" s="4" t="str">
        <f aca="false">IFERROR(VLOOKUP($A110,Datos!$B:$C,2,FALSE()),"Sin clasificar")</f>
        <v>North America</v>
      </c>
      <c r="C110" s="9" t="n">
        <f aca="false">SUMIF(Datos!$B:$B,$A110,Datos!$D:$D)</f>
        <v>129</v>
      </c>
      <c r="D110" s="10" t="n">
        <f aca="false">IFERROR(AVERAGEIF(Datos!$B:$B,$A110,Datos!$F:$F),"")</f>
        <v>3130</v>
      </c>
      <c r="E110" s="9" t="n">
        <f aca="false">IFERROR(SUMIFS(Datos!$G:$G,Datos!$B:$B,$A110,Datos!$A:$A,2024),"")</f>
        <v>0</v>
      </c>
    </row>
    <row r="111" customFormat="false" ht="15" hidden="false" customHeight="false" outlineLevel="0" collapsed="false">
      <c r="A111" s="2" t="s">
        <v>38</v>
      </c>
      <c r="B111" s="4" t="str">
        <f aca="false">IFERROR(VLOOKUP($A111,Datos!$B:$C,2,FALSE()),"Sin clasificar")</f>
        <v>Africa</v>
      </c>
      <c r="C111" s="9" t="n">
        <f aca="false">SUMIF(Datos!$B:$B,$A111,Datos!$D:$D)</f>
        <v>84</v>
      </c>
      <c r="D111" s="10" t="n">
        <f aca="false">IFERROR(AVERAGEIF(Datos!$B:$B,$A111,Datos!$F:$F),"")</f>
        <v>12200</v>
      </c>
      <c r="E111" s="9" t="n">
        <f aca="false">IFERROR(SUMIFS(Datos!$G:$G,Datos!$B:$B,$A111,Datos!$A:$A,2024),"")</f>
        <v>0</v>
      </c>
    </row>
    <row r="112" customFormat="false" ht="15" hidden="false" customHeight="false" outlineLevel="0" collapsed="false">
      <c r="A112" s="2" t="s">
        <v>62</v>
      </c>
      <c r="B112" s="4" t="str">
        <f aca="false">IFERROR(VLOOKUP($A112,Datos!$B:$C,2,FALSE()),"Sin clasificar")</f>
        <v>Asia</v>
      </c>
      <c r="C112" s="9" t="n">
        <f aca="false">SUMIF(Datos!$B:$B,$A112,Datos!$D:$D)</f>
        <v>55</v>
      </c>
      <c r="D112" s="10" t="n">
        <f aca="false">IFERROR(AVERAGEIF(Datos!$B:$B,$A112,Datos!$F:$F),"")</f>
        <v>12200</v>
      </c>
      <c r="E112" s="9" t="n">
        <f aca="false">IFERROR(SUMIFS(Datos!$G:$G,Datos!$B:$B,$A112,Datos!$A:$A,2024),"")</f>
        <v>0</v>
      </c>
    </row>
    <row r="113" customFormat="false" ht="15" hidden="false" customHeight="false" outlineLevel="0" collapsed="false">
      <c r="A113" s="2" t="s">
        <v>99</v>
      </c>
      <c r="B113" s="4" t="str">
        <f aca="false">IFERROR(VLOOKUP($A113,Datos!$B:$C,2,FALSE()),"Sin clasificar")</f>
        <v>North America</v>
      </c>
      <c r="C113" s="9" t="n">
        <f aca="false">SUMIF(Datos!$B:$B,$A113,Datos!$D:$D)</f>
        <v>40</v>
      </c>
      <c r="D113" s="10" t="n">
        <f aca="false">IFERROR(AVERAGEIF(Datos!$B:$B,$A113,Datos!$F:$F),"")</f>
        <v>2650</v>
      </c>
      <c r="E113" s="9" t="n">
        <f aca="false">IFERROR(SUMIFS(Datos!$G:$G,Datos!$B:$B,$A113,Datos!$A:$A,2024),"")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1" t="s">
        <v>149</v>
      </c>
      <c r="B1" s="11"/>
      <c r="C1" s="11"/>
      <c r="D1" s="11"/>
    </row>
    <row r="3" customFormat="false" ht="15" hidden="false" customHeight="false" outlineLevel="0" collapsed="false">
      <c r="A3" s="12" t="s">
        <v>150</v>
      </c>
    </row>
    <row r="5" customFormat="false" ht="15" hidden="false" customHeight="false" outlineLevel="0" collapsed="false">
      <c r="A5" s="1" t="s">
        <v>1</v>
      </c>
      <c r="B5" s="1" t="s">
        <v>151</v>
      </c>
    </row>
    <row r="6" customFormat="false" ht="15" hidden="false" customHeight="false" outlineLevel="0" collapsed="false">
      <c r="A6" s="2" t="s">
        <v>11</v>
      </c>
      <c r="B6" s="9" t="n">
        <f aca="false">SUMIF(Datos!$C:$C,$A6,Datos!$D:$D)</f>
        <v>58775212</v>
      </c>
    </row>
    <row r="7" customFormat="false" ht="15" hidden="false" customHeight="false" outlineLevel="0" collapsed="false">
      <c r="A7" s="2" t="s">
        <v>7</v>
      </c>
      <c r="B7" s="9" t="n">
        <f aca="false">SUMIF(Datos!$C:$C,$A7,Datos!$D:$D)</f>
        <v>9313586</v>
      </c>
    </row>
    <row r="8" customFormat="false" ht="15" hidden="false" customHeight="false" outlineLevel="0" collapsed="false">
      <c r="A8" s="2" t="s">
        <v>15</v>
      </c>
      <c r="B8" s="9" t="n">
        <f aca="false">SUMIF(Datos!$C:$C,$A8,Datos!$D:$D)</f>
        <v>125593959</v>
      </c>
    </row>
    <row r="9" customFormat="false" ht="15" hidden="false" customHeight="false" outlineLevel="0" collapsed="false">
      <c r="A9" s="2" t="s">
        <v>9</v>
      </c>
      <c r="B9" s="9" t="n">
        <f aca="false">SUMIF(Datos!$C:$C,$A9,Datos!$D:$D)</f>
        <v>83532577</v>
      </c>
    </row>
    <row r="10" customFormat="false" ht="15" hidden="false" customHeight="false" outlineLevel="0" collapsed="false">
      <c r="A10" s="2" t="s">
        <v>3</v>
      </c>
      <c r="B10" s="9" t="n">
        <f aca="false">SUMIF(Datos!$C:$C,$A10,Datos!$D:$D)</f>
        <v>2107</v>
      </c>
    </row>
    <row r="11" customFormat="false" ht="15" hidden="false" customHeight="false" outlineLevel="0" collapsed="false">
      <c r="A11" s="2" t="s">
        <v>13</v>
      </c>
      <c r="B11" s="9" t="n">
        <f aca="false">SUMIF(Datos!$C:$C,$A11,Datos!$D:$D)</f>
        <v>3408833</v>
      </c>
    </row>
    <row r="12" customFormat="false" ht="15" hidden="false" customHeight="false" outlineLevel="0" collapsed="false">
      <c r="A12" s="2" t="s">
        <v>5</v>
      </c>
      <c r="B12" s="9" t="n">
        <f aca="false">SUMIF(Datos!$C:$C,$A12,Datos!$D:$D)</f>
        <v>1025123</v>
      </c>
    </row>
    <row r="14" customFormat="false" ht="15" hidden="false" customHeight="false" outlineLevel="0" collapsed="false">
      <c r="A14" s="12" t="s">
        <v>152</v>
      </c>
      <c r="D14" s="13" t="n">
        <f aca="false">CORREL(Resumen_Pais!$C$2:$C$113,Resumen_Pais!$D$2:$D$113)</f>
        <v>0.0368815980321271</v>
      </c>
    </row>
    <row r="15" customFormat="false" ht="15" hidden="false" customHeight="false" outlineLevel="0" collapsed="false">
      <c r="A15" s="14" t="s">
        <v>153</v>
      </c>
      <c r="B15" s="14"/>
      <c r="C15" s="14"/>
      <c r="D15" s="14"/>
      <c r="E15" s="14"/>
      <c r="F15" s="14"/>
      <c r="G15" s="14"/>
      <c r="H15" s="14"/>
    </row>
    <row r="17" customFormat="false" ht="15" hidden="false" customHeight="false" outlineLevel="0" collapsed="false">
      <c r="A17" s="12" t="s">
        <v>154</v>
      </c>
      <c r="D17" s="13" t="n">
        <f aca="false">CORREL(Resumen_Pais!$C$2:$C$113,Resumen_Pais!$E$2:$E$113)</f>
        <v>0.548858126927029</v>
      </c>
    </row>
    <row r="18" customFormat="false" ht="15" hidden="false" customHeight="false" outlineLevel="0" collapsed="false">
      <c r="A18" s="14" t="s">
        <v>155</v>
      </c>
      <c r="B18" s="14"/>
      <c r="C18" s="14"/>
      <c r="D18" s="14"/>
      <c r="E18" s="14"/>
      <c r="F18" s="14"/>
      <c r="G18" s="14"/>
      <c r="H18" s="14"/>
    </row>
  </sheetData>
  <mergeCells count="3">
    <mergeCell ref="A1:D1"/>
    <mergeCell ref="A15:H15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2026-07-30T20:46:42Z</dcterms:created>
  <dc:creator>openpyxl</dc:creator>
  <dc:description/>
  <dc:language>en-US</dc:language>
  <cp:lastModifiedBy/>
  <dcterms:modified xsi:type="dcterms:W3CDTF">2026-07-30T20:46:53Z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